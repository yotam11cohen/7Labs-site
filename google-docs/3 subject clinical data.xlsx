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2c8AVSx/tWaBylgP3FT0Sj178315TObYYENQRESZ2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2">
      <text>
        <t xml:space="preserve">======
ID#AAAB0dEzwcI
מקסים ולדניק    (2026-02-16 20:39:48)
I am a stable person.</t>
      </text>
    </comment>
    <comment authorId="0" ref="AH2">
      <text>
        <t xml:space="preserve">======
ID#AAAB0dEzwcM
מקסים ולדניק    (2026-02-16 20:39:48)
I feel relaxed</t>
      </text>
    </comment>
    <comment authorId="0" ref="Q2">
      <text>
        <t xml:space="preserve">======
ID#AAAB0dEzwcE
מקסים ולדניק    (2026-02-16 20:39:48)
3 Increased irritability
No 0
Yes 1</t>
      </text>
    </comment>
    <comment authorId="0" ref="AF2">
      <text>
        <t xml:space="preserve">======
ID#AAAB0dEzwb8
מקסים ולדניק    (2026-02-16 20:39:48)
I wish I could be as happy as others seem to be.</t>
      </text>
    </comment>
    <comment authorId="0" ref="X2">
      <text>
        <t xml:space="preserve">======
ID#AAAB0dEzwb4
מקסים ולדניק    (2026-02-16 20:39:48)
Talking with friends/family
No 0
Yes 1</t>
      </text>
    </comment>
    <comment authorId="0" ref="AK2">
      <text>
        <t xml:space="preserve">======
ID#AAAB0dEzwbs
מקסים ולדניק    (2026-02-16 20:39:48)
I worry too much over something that really doesn’t matter.</t>
      </text>
    </comment>
    <comment authorId="0" ref="AQ2">
      <text>
        <t xml:space="preserve">======
ID#AAAB0dEzwbU
מקסים ולדניק    (2026-02-16 20:39:48)
I feel useless.</t>
      </text>
    </comment>
    <comment authorId="0" ref="V2">
      <text>
        <t xml:space="preserve">======
ID#AAAB0dEzwbY
מקסים ולדניק    (2026-02-16 20:39:48)
Physical activity
No 0
Yes 1</t>
      </text>
    </comment>
    <comment authorId="0" ref="S2">
      <text>
        <t xml:space="preserve">======
ID#AAAB0dEzwbQ
מקסים ולדניק    (2026-02-16 20:39:48)
Changes in appetite
No 0
Yes 1</t>
      </text>
    </comment>
    <comment authorId="0" ref="AG2">
      <text>
        <t xml:space="preserve">======
ID#AAAB0dEzwbM
מקסים ולדניק    (2026-02-16 20:39:48)
I feel like a failure.</t>
      </text>
    </comment>
    <comment authorId="0" ref="AN2">
      <text>
        <t xml:space="preserve">======
ID#AAAB0dEzwbE
מקסים ולדניק    (2026-02-16 20:39:48)
I lack self-confidence.</t>
      </text>
    </comment>
    <comment authorId="0" ref="AA2">
      <text>
        <t xml:space="preserve">======
ID#AAAB0dEzwbI
מקסים ולדניק    (2026-02-16 20:39:48)
Substance use (alcohol, cigarettes, cannabis, etc.)
No 0
Yes 1</t>
      </text>
    </comment>
    <comment authorId="0" ref="AI2">
      <text>
        <t xml:space="preserve">======
ID#AAAB0dEzwbA
מקסים ולדניק    (2026-02-16 20:39:48)
I feel calm, cool, and in control.</t>
      </text>
    </comment>
    <comment authorId="0" ref="AC2">
      <text>
        <t xml:space="preserve">======
ID#AAAB0dEzwa0
מקסים ולדניק    (2026-02-16 20:39:48)
מקסים ולדניק
I feel pleasant:
1 = Almost never
2 = Sometimes
3 = Often
4 = Almost always</t>
      </text>
    </comment>
    <comment authorId="0" ref="H2">
      <text>
        <t xml:space="preserve">======
ID#AAAB0dEzwaw
מקסים ולדניק    (2026-02-16 20:39:48)
Cigarettes
1 Never
2 Occasionally
Regularly 3</t>
      </text>
    </comment>
    <comment authorId="0" ref="AM2">
      <text>
        <t xml:space="preserve">======
ID#AAAB0dEzwas
מקסים ולדניק    (2026-02-16 20:39:48)
I have disturbing thoughts.</t>
      </text>
    </comment>
    <comment authorId="0" ref="R2">
      <text>
        <t xml:space="preserve">======
ID#AAAB0dEzwaY
מקסים ולדניק    (2026-02-16 20:39:48)
4 Sleep disturbances
No 0
Yes 1</t>
      </text>
    </comment>
    <comment authorId="0" ref="AS2">
      <text>
        <t xml:space="preserve">======
ID#AAAB0dEzwaQ
מקסים ולדניק    (2026-02-16 20:39:48)
A certain unimportant thought runs through my mind and bothers me.</t>
      </text>
    </comment>
    <comment authorId="0" ref="AP2">
      <text>
        <t xml:space="preserve">======
ID#AAAB0dEzwZ8
מקסים ולדניק    (2026-02-16 20:39:48)
I make decisions easily.</t>
      </text>
    </comment>
    <comment authorId="0" ref="AJ2">
      <text>
        <t xml:space="preserve">======
ID#AAAB0dEzwZ4
מקסים ולדניק    (2026-02-16 20:39:48)
I feel that I am unable to overcome the difficulties piling up in my way.</t>
      </text>
    </comment>
    <comment authorId="0" ref="C2">
      <text>
        <t xml:space="preserve">======
ID#AAAB0dEzwZ0
מקסים ולדניק    (2026-02-16 20:39:48)
Man 1
Female 2</t>
      </text>
    </comment>
    <comment authorId="0" ref="P2">
      <text>
        <t xml:space="preserve">======
ID#AAAB0dEzwZo
מקסים ולדניק    (2026-02-16 20:39:48)
Decreased productivity
No 0
Yes 1</t>
      </text>
    </comment>
    <comment authorId="0" ref="AR2">
      <text>
        <t xml:space="preserve">======
ID#AAAB0dEzwZg
מקסים ולדניק    (2026-02-16 20:39:48)
I feel content.</t>
      </text>
    </comment>
    <comment authorId="0" ref="F2">
      <text>
        <t xml:space="preserve">======
ID#AAAB0dEzwZc
מקסים ולדניק    (2026-02-16 20:39:48)
1 Standard
2 Vegetarian
3 Vegan
 Gluten-free 4
5 Dairy-free
Other 6</t>
      </text>
    </comment>
    <comment authorId="0" ref="L2">
      <text>
        <t xml:space="preserve">======
ID#AAAB0dEzwZQ
מקסים ולדניק    (2026-02-16 20:39:48)
1 Less than 5 hours
2 5–6 hours
3 6–7 hours
4 7–8 hours
5 More than 8 hours</t>
      </text>
    </comment>
    <comment authorId="0" ref="T2">
      <text>
        <t xml:space="preserve">======
ID#AAAB0dEzwY4
מקסים ולדניק    (2026-02-16 20:39:48)
6 Social withdrawal
No 0
Yes 1</t>
      </text>
    </comment>
    <comment authorId="0" ref="W2">
      <text>
        <t xml:space="preserve">======
ID#AAAB0dEzwY8
מקסים ולדניק    (2026-02-16 20:39:48)
Meditation or mindfulness
No 0
Yes 1</t>
      </text>
    </comment>
    <comment authorId="0" ref="J2">
      <text>
        <t xml:space="preserve">======
ID#AAAB0dEzwY0
מקסים ולדניק    (2026-02-16 20:39:48)
Cannabis
1 Never
2 Occasionally
Regularly 3</t>
      </text>
    </comment>
    <comment authorId="0" ref="G2">
      <text>
        <t xml:space="preserve">======
ID#AAAB0dEzwYg
מקסים ולדניק    (2026-02-16 20:39:48)
Alcohol:
1 Never
2 Occasionally
Regularly 3</t>
      </text>
    </comment>
    <comment authorId="0" ref="AV2">
      <text>
        <t xml:space="preserve">======
ID#AAAB0dEzwYk
מקסים ולדניק    (2026-02-16 20:39:48)
When I think about the things that have been bothering me lately, I get tense and restless.</t>
      </text>
    </comment>
    <comment authorId="0" ref="O2">
      <text>
        <t xml:space="preserve">======
ID#AAAB0dEzwYU
מקסים ולדניק    (2026-02-16 20:39:48)
Difficulty concentrating
No 0
Yes 1</t>
      </text>
    </comment>
    <comment authorId="0" ref="AD2">
      <text>
        <t xml:space="preserve">======
ID#AAAB0dEzwYY
מקסים ולדניק    (2026-02-16 20:39:48)
I feel nervous and restless.</t>
      </text>
    </comment>
    <comment authorId="0" ref="AB2">
      <text>
        <t xml:space="preserve">======
ID#AAAB0dEzwYM
מקסים ולדניק    (2026-02-16 20:39:48)
Other</t>
      </text>
    </comment>
    <comment authorId="0" ref="U2">
      <text>
        <t xml:space="preserve">======
ID#AAAB0dEzwYQ
מקסים ולדניק    (2026-02-16 20:39:48)
Other</t>
      </text>
    </comment>
    <comment authorId="0" ref="E2">
      <text>
        <t xml:space="preserve">======
ID#AAAB0dEzwYI
מקסים ולדניק    (2026-02-16 20:39:48)
1 Standard
2 Vegetarian
3 Vegan
 Gluten-free 4
5 Dairy-free
Other 6</t>
      </text>
    </comment>
    <comment authorId="0" ref="AL2">
      <text>
        <t xml:space="preserve">======
ID#AAAB0dEzwYA
מקסים ולדניק    (2026-02-16 20:39:48)
I feel happy.</t>
      </text>
    </comment>
    <comment authorId="0" ref="K2">
      <text>
        <t xml:space="preserve">======
ID#AAAB0dEzwX8
מקסים ולדניק    (2026-02-16 20:39:48)
1 Never
2 Rarely (less than once a week)
3 Occasionally (1–2 times per week)
4 Regularly (3–4 times per week)
5 Frequently (5+ times per week)</t>
      </text>
    </comment>
    <comment authorId="0" ref="Y2">
      <text>
        <t xml:space="preserve">======
ID#AAAB0dEzwXs
מקסים ולדניק    (2026-02-16 20:39:48)
Professional counseling or therapy
No 0
Yes 1</t>
      </text>
    </comment>
    <comment authorId="0" ref="Z2">
      <text>
        <t xml:space="preserve">======
ID#AAAB0dEzwXw
מקסים ולדניק    (2026-02-16 20:39:48)
Hobbies or leisure activities
No 0
Yes 1</t>
      </text>
    </comment>
    <comment authorId="0" ref="AE2">
      <text>
        <t xml:space="preserve">======
ID#AAAB0dEzwX4
מקסים ולדניק    (2026-02-16 20:39:48)
I feel satisfied with myself.</t>
      </text>
    </comment>
    <comment authorId="0" ref="AC1">
      <text>
        <t xml:space="preserve">======
ID#AAAB0dEzwX0
מקסים ולדניק    (2026-02-16 20:39:48)
1 = Almost never
2 = Sometimes
3 = Often
4 = Almost always</t>
      </text>
    </comment>
    <comment authorId="0" ref="AT2">
      <text>
        <t xml:space="preserve">======
ID#AAAB0dEzwXU
מקסים ולדניק    (2026-02-16 20:39:48)
I take disappointments so hard that I can’t put them out of my mind.</t>
      </text>
    </comment>
    <comment authorId="0" ref="AO2">
      <text>
        <t xml:space="preserve">======
ID#AAAB0dEzwXY
מקסים ולדניק    (2026-02-16 20:39:48)
I feel secure.</t>
      </text>
    </comment>
    <comment authorId="0" ref="M2">
      <text>
        <t xml:space="preserve">======
ID#AAAB0dEzwXA
מקסים ולדניק    (2026-02-16 20:39:48)
1 Nova Festival
2 Gaza Envelope
3 Soldier
4 First responder
5 Other:</t>
      </text>
    </comment>
  </commentList>
  <extLst>
    <ext uri="GoogleSheetsCustomDataVersion2">
      <go:sheetsCustomData xmlns:go="http://customooxmlschemas.google.com/" r:id="rId1" roundtripDataSignature="AMtx7mgVqNhYLsn/haaLR5aHL8USA/bm5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======
ID#AAAB0dEzwcc
מקסים ולדניק    (2026-02-16 20:39:48)
I feel nervous and restless.</t>
      </text>
    </comment>
    <comment authorId="0" ref="B7">
      <text>
        <t xml:space="preserve">======
ID#AAAB0dEzwcY
מקסים ולדניק    (2026-02-16 20:39:48)
Alcohol:
1 Never
2 Occasionally
Regularly 3</t>
      </text>
    </comment>
    <comment authorId="0" ref="B10">
      <text>
        <t xml:space="preserve">======
ID#AAAB0dEzwcQ
מקסים ולדניק    (2026-02-16 20:39:48)
Cannabis
1 Never
2 Occasionally
Regularly 3</t>
      </text>
    </comment>
    <comment authorId="0" ref="B26">
      <text>
        <t xml:space="preserve">======
ID#AAAB0dEzwcU
מקסים ולדניק    (2026-02-16 20:39:48)
Hobbies or leisure activities
No 0
Yes 1</t>
      </text>
    </comment>
    <comment authorId="0" ref="B24">
      <text>
        <t xml:space="preserve">======
ID#AAAB0dEzwcA
מקסים ולדניק    (2026-02-16 20:39:48)
Talking with friends/family
No 0
Yes 1</t>
      </text>
    </comment>
    <comment authorId="0" ref="B8">
      <text>
        <t xml:space="preserve">======
ID#AAAB0dEzwb0
מקסים ולדניק    (2026-02-16 20:39:48)
Cigarettes
1 Never
2 Occasionally
Regularly 3</t>
      </text>
    </comment>
    <comment authorId="0" ref="B6">
      <text>
        <t xml:space="preserve">======
ID#AAAB0dEzwbo
מקסים ולדניק    (2026-02-16 20:39:48)
1 Standard
2 Vegetarian
3 Vegan
 Gluten-free 4
5 Dairy-free
Other 6</t>
      </text>
    </comment>
    <comment authorId="0" ref="B28">
      <text>
        <t xml:space="preserve">======
ID#AAAB0dEzwbw
מקסים ולדניק    (2026-02-16 20:39:48)
Other</t>
      </text>
    </comment>
    <comment authorId="0" ref="B46">
      <text>
        <t xml:space="preserve">======
ID#AAAB0dEzwbg
מקסים ולדניק    (2026-02-16 20:39:48)
I take disappointments so hard that I can’t put them out of my mind.</t>
      </text>
    </comment>
    <comment authorId="0" ref="B29">
      <text>
        <t xml:space="preserve">======
ID#AAAB0dEzwbk
מקסים ולדניק    (2026-02-16 20:39:48)
מקסים ולדניק
I feel pleasant:
1 = Almost never
2 = Sometimes
3 = Often
4 = Almost always</t>
      </text>
    </comment>
    <comment authorId="0" ref="B41">
      <text>
        <t xml:space="preserve">======
ID#AAAB0dEzwbc
מקסים ולדניק    (2026-02-16 20:39:48)
I feel secure.</t>
      </text>
    </comment>
    <comment authorId="0" ref="B11">
      <text>
        <t xml:space="preserve">======
ID#AAAB0dEzwa4
מקסים ולדניק    (2026-02-16 20:39:48)
1 Never
2 Rarely (less than once a week)
3 Occasionally (1–2 times per week)
4 Regularly (3–4 times per week)
5 Frequently (5+ times per week)</t>
      </text>
    </comment>
    <comment authorId="0" ref="B12">
      <text>
        <t xml:space="preserve">======
ID#AAAB0dEzwa8
מקסים ולדניק    (2026-02-16 20:39:48)
1 Less than 5 hours
2 5–6 hours
3 6–7 hours
4 7–8 hours
5 More than 8 hours</t>
      </text>
    </comment>
    <comment authorId="0" ref="B25">
      <text>
        <t xml:space="preserve">======
ID#AAAB0dEzwao
מקסים ולדניק    (2026-02-16 20:39:48)
Professional counseling or therapy
No 0
Yes 1</t>
      </text>
    </comment>
    <comment authorId="0" ref="B34">
      <text>
        <t xml:space="preserve">======
ID#AAAB0dEzwag
מקסים ולדניק    (2026-02-16 20:39:48)
I feel relaxed</t>
      </text>
    </comment>
    <comment authorId="0" ref="B18">
      <text>
        <t xml:space="preserve">======
ID#AAAB0dEzwak
מקסים ולדניק    (2026-02-16 20:39:48)
4 Sleep disturbances
No 0
Yes 1</t>
      </text>
    </comment>
    <comment authorId="0" ref="B22">
      <text>
        <t xml:space="preserve">======
ID#AAAB0dEzwac
מקסים ולדניק    (2026-02-16 20:39:48)
Physical activity
No 0
Yes 1</t>
      </text>
    </comment>
    <comment authorId="0" ref="B47">
      <text>
        <t xml:space="preserve">======
ID#AAAB0dEzwaU
מקסים ולדניק    (2026-02-16 20:39:48)
I am a stable person.</t>
      </text>
    </comment>
    <comment authorId="0" ref="A30">
      <text>
        <t xml:space="preserve">======
ID#AAAB0dEzwaM
מקסים ולדניק    (2026-02-16 20:39:48)
1 = Almost never
2 = Sometimes
3 = Often
4 = Almost always</t>
      </text>
    </comment>
    <comment authorId="0" ref="B37">
      <text>
        <t xml:space="preserve">======
ID#AAAB0dEzwaE
מקסים ולדניק    (2026-02-16 20:39:48)
I worry too much over something that really doesn’t matter.</t>
      </text>
    </comment>
    <comment authorId="0" ref="B3">
      <text>
        <t xml:space="preserve">======
ID#AAAB0dEzwaI
מקסים ולדניק    (2026-02-16 20:39:48)
Man 1
Female 2</t>
      </text>
    </comment>
    <comment authorId="0" ref="B33">
      <text>
        <t xml:space="preserve">======
ID#AAAB0dEzwaA
מקסים ולדניק    (2026-02-16 20:39:48)
I feel like a failure.</t>
      </text>
    </comment>
    <comment authorId="0" ref="B13">
      <text>
        <t xml:space="preserve">======
ID#AAAB0dEzwZk
מקסים ולדניק    (2026-02-16 20:39:48)
1 Nova Festival
2 Gaza Envelope
3 Soldier
4 First responder
5 Other:</t>
      </text>
    </comment>
    <comment authorId="0" ref="B17">
      <text>
        <t xml:space="preserve">======
ID#AAAB0dEzwZw
מקסים ולדניק    (2026-02-16 20:39:48)
3 Increased irritability
No 0
Yes 1</t>
      </text>
    </comment>
    <comment authorId="0" ref="B5">
      <text>
        <t xml:space="preserve">======
ID#AAAB0dEzwZs
מקסים ולדניק    (2026-02-16 20:39:48)
1 Standard
2 Vegetarian
3 Vegan
 Gluten-free 4
5 Dairy-free
Other 6</t>
      </text>
    </comment>
    <comment authorId="0" ref="B35">
      <text>
        <t xml:space="preserve">======
ID#AAAB0dEzwZU
מקסים ולדניק    (2026-02-16 20:39:48)
I feel calm, cool, and in control.</t>
      </text>
    </comment>
    <comment authorId="0" ref="B44">
      <text>
        <t xml:space="preserve">======
ID#AAAB0dEzwZY
מקסים ולדניק    (2026-02-16 20:39:48)
I feel content.</t>
      </text>
    </comment>
    <comment authorId="0" ref="B40">
      <text>
        <t xml:space="preserve">======
ID#AAAB0dEzwZM
מקסים ולדניק    (2026-02-16 20:39:48)
I lack self-confidence.</t>
      </text>
    </comment>
    <comment authorId="0" ref="B42">
      <text>
        <t xml:space="preserve">======
ID#AAAB0dEzwZE
מקסים ולדניק    (2026-02-16 20:39:48)
I make decisions easily.</t>
      </text>
    </comment>
    <comment authorId="0" ref="B19">
      <text>
        <t xml:space="preserve">======
ID#AAAB0dEzwZI
מקסים ולדניק    (2026-02-16 20:39:48)
Changes in appetite
No 0
Yes 1</t>
      </text>
    </comment>
    <comment authorId="0" ref="B15">
      <text>
        <t xml:space="preserve">======
ID#AAAB0dEzwYw
מקסים ולדניק    (2026-02-16 20:39:48)
Difficulty concentrating
No 0
Yes 1</t>
      </text>
    </comment>
    <comment authorId="0" ref="B32">
      <text>
        <t xml:space="preserve">======
ID#AAAB0dEzwZA
מקסים ולדניק    (2026-02-16 20:39:48)
I wish I could be as happy as others seem to be.</t>
      </text>
    </comment>
    <comment authorId="0" ref="B16">
      <text>
        <t xml:space="preserve">======
ID#AAAB0dEzwYo
מקסים ולדניק    (2026-02-16 20:39:48)
Decreased productivity
No 0
Yes 1</t>
      </text>
    </comment>
    <comment authorId="0" ref="B45">
      <text>
        <t xml:space="preserve">======
ID#AAAB0dEzwYs
מקסים ולדניק    (2026-02-16 20:39:48)
A certain unimportant thought runs through my mind and bothers me.</t>
      </text>
    </comment>
    <comment authorId="0" ref="B39">
      <text>
        <t xml:space="preserve">======
ID#AAAB0dEzwYc
מקסים ולדניק    (2026-02-16 20:39:48)
I have disturbing thoughts.</t>
      </text>
    </comment>
    <comment authorId="0" ref="B43">
      <text>
        <t xml:space="preserve">======
ID#AAAB0dEzwYE
מקסים ולדניק    (2026-02-16 20:39:48)
I feel useless.</t>
      </text>
    </comment>
    <comment authorId="0" ref="B48">
      <text>
        <t xml:space="preserve">======
ID#AAAB0dEzwXk
מקסים ולדניק    (2026-02-16 20:39:48)
When I think about the things that have been bothering me lately, I get tense and restless.</t>
      </text>
    </comment>
    <comment authorId="0" ref="B20">
      <text>
        <t xml:space="preserve">======
ID#AAAB0dEzwXo
מקסים ולדניק    (2026-02-16 20:39:48)
6 Social withdrawal
No 0
Yes 1</t>
      </text>
    </comment>
    <comment authorId="0" ref="B23">
      <text>
        <t xml:space="preserve">======
ID#AAAB0dEzwXc
מקסים ולדניק    (2026-02-16 20:39:48)
Meditation or mindfulness
No 0
Yes 1</t>
      </text>
    </comment>
    <comment authorId="0" ref="B27">
      <text>
        <t xml:space="preserve">======
ID#AAAB0dEzwXg
מקסים ולדניק    (2026-02-16 20:39:48)
Substance use (alcohol, cigarettes, cannabis, etc.)
No 0
Yes 1</t>
      </text>
    </comment>
    <comment authorId="0" ref="B31">
      <text>
        <t xml:space="preserve">======
ID#AAAB0dEzwXM
מקסים ולדניק    (2026-02-16 20:39:48)
I feel satisfied with myself.</t>
      </text>
    </comment>
    <comment authorId="0" ref="B38">
      <text>
        <t xml:space="preserve">======
ID#AAAB0dEzwXQ
מקסים ולדניק    (2026-02-16 20:39:48)
I feel happy.</t>
      </text>
    </comment>
    <comment authorId="0" ref="B21">
      <text>
        <t xml:space="preserve">======
ID#AAAB0dEzwXE
מקסים ולדניק    (2026-02-16 20:39:48)
Other</t>
      </text>
    </comment>
    <comment authorId="0" ref="B36">
      <text>
        <t xml:space="preserve">======
ID#AAAB0dEzwXI
מקסים ולדניק    (2026-02-16 20:39:48)
I feel that I am unable to overcome the difficulties piling up in my way.</t>
      </text>
    </comment>
  </commentList>
  <extLst>
    <ext uri="GoogleSheetsCustomDataVersion2">
      <go:sheetsCustomData xmlns:go="http://customooxmlschemas.google.com/" r:id="rId1" roundtripDataSignature="AMtx7mgpas+Cn/NcurfdemuVdWeGNyfCHA=="/>
    </ext>
  </extLst>
</comments>
</file>

<file path=xl/sharedStrings.xml><?xml version="1.0" encoding="utf-8"?>
<sst xmlns="http://schemas.openxmlformats.org/spreadsheetml/2006/main" count="234" uniqueCount="102">
  <si>
    <t>Personal Information</t>
  </si>
  <si>
    <t xml:space="preserve">Lifestyle and Environmental Factor </t>
  </si>
  <si>
    <t xml:space="preserve">Trauma Exposure and Impact  </t>
  </si>
  <si>
    <t>STAI</t>
  </si>
  <si>
    <t xml:space="preserve">Medical and psychological history form </t>
  </si>
  <si>
    <t xml:space="preserve">PARTICIPANT NUMBER </t>
  </si>
  <si>
    <t xml:space="preserve">Date of collection </t>
  </si>
  <si>
    <t xml:space="preserve">Gender </t>
  </si>
  <si>
    <t xml:space="preserve">Age </t>
  </si>
  <si>
    <t xml:space="preserve">Dietary habits </t>
  </si>
  <si>
    <t>Substance Use(Alc)</t>
  </si>
  <si>
    <t>Substance Use(Cig)</t>
  </si>
  <si>
    <t>Substance Use (Can)</t>
  </si>
  <si>
    <t>Substance Use (Other)</t>
  </si>
  <si>
    <t xml:space="preserve">Physical activity </t>
  </si>
  <si>
    <t xml:space="preserve">Sleep Patterns </t>
  </si>
  <si>
    <t xml:space="preserve">Trauma Exposure Details </t>
  </si>
  <si>
    <t>Trauma Exposure Details(other)</t>
  </si>
  <si>
    <t>Impact on Daily life 1</t>
  </si>
  <si>
    <t>Impact on Daily life 2</t>
  </si>
  <si>
    <t>Impact on Daily life 3</t>
  </si>
  <si>
    <t>Impact on Daily life 4</t>
  </si>
  <si>
    <t>Impact on Daily life 5</t>
  </si>
  <si>
    <t>Impact on Daily life 6</t>
  </si>
  <si>
    <t>Impact on Daily life 7</t>
  </si>
  <si>
    <t>Coping Mechanisms 1</t>
  </si>
  <si>
    <t>Coping Mechanisms 2</t>
  </si>
  <si>
    <t>Coping Mechanisms 3</t>
  </si>
  <si>
    <t>Coping Mechanisms 4</t>
  </si>
  <si>
    <t>Coping Mechanisms 5</t>
  </si>
  <si>
    <t>Coping Mechanisms 6</t>
  </si>
  <si>
    <t>Coping Mechanisms 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</si>
  <si>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</si>
  <si>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</si>
  <si>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</si>
  <si>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</si>
  <si>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</si>
  <si>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</si>
  <si>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</si>
  <si>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</si>
  <si>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</si>
  <si>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</si>
  <si>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</si>
  <si>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</si>
  <si>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</si>
  <si>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</si>
  <si>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</si>
  <si>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</si>
  <si>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</si>
  <si>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</si>
  <si>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</si>
  <si>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</si>
  <si>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STAI Final Score</t>
  </si>
  <si>
    <t>Medical conditions1</t>
  </si>
  <si>
    <t>Date of diagnosis</t>
  </si>
  <si>
    <t>Medical conditions2</t>
  </si>
  <si>
    <t>Medical conditions3</t>
  </si>
  <si>
    <t>Medical conditions4</t>
  </si>
  <si>
    <t>Current Medications1</t>
  </si>
  <si>
    <t>Date of First prescription</t>
  </si>
  <si>
    <t>Date of first dispensing</t>
  </si>
  <si>
    <t xml:space="preserve">Date of last Prescription </t>
  </si>
  <si>
    <t>Date of last dispensing</t>
  </si>
  <si>
    <t>Current Medications2</t>
  </si>
  <si>
    <t>Current Medications3</t>
  </si>
  <si>
    <t>001</t>
  </si>
  <si>
    <t>Disturbing thoughts</t>
  </si>
  <si>
    <t>6-session treatment program using PRISM</t>
  </si>
  <si>
    <t>Obesity</t>
  </si>
  <si>
    <t>Mixed Anxeity and Depression</t>
  </si>
  <si>
    <t>Prizma 20MG</t>
  </si>
  <si>
    <t>Vyvanse 30MG</t>
  </si>
  <si>
    <t>Sorbon 10MG</t>
  </si>
  <si>
    <t>002</t>
  </si>
  <si>
    <t>Prisma</t>
  </si>
  <si>
    <t>Nightmares</t>
  </si>
  <si>
    <t>Hyportoidism</t>
  </si>
  <si>
    <t>Anxiety and Depression Reaction</t>
  </si>
  <si>
    <t>Acute Stress Reaction</t>
  </si>
  <si>
    <t>Serenada 50MG</t>
  </si>
  <si>
    <t>Euthyrox 100MG</t>
  </si>
  <si>
    <t>003</t>
  </si>
  <si>
    <t>004</t>
  </si>
  <si>
    <t>Direct missile hit</t>
  </si>
  <si>
    <t>Restlessness</t>
  </si>
  <si>
    <t xml:space="preserve">Insomnia </t>
  </si>
  <si>
    <t xml:space="preserve">Adjustment Disorder </t>
  </si>
  <si>
    <t>PTSD</t>
  </si>
  <si>
    <t>ESTO TAB 10mg</t>
  </si>
  <si>
    <t>Bondormin 0.25mg</t>
  </si>
  <si>
    <t>Quetiapine teva 25 mg</t>
  </si>
  <si>
    <t>005</t>
  </si>
  <si>
    <t>Panic attacks</t>
  </si>
  <si>
    <t>Sedatives</t>
  </si>
  <si>
    <t>ADD</t>
  </si>
  <si>
    <t>Anxiety</t>
  </si>
  <si>
    <t>Clonex 0.5mg tab</t>
  </si>
  <si>
    <t>Attent 20 mg</t>
  </si>
  <si>
    <t>006</t>
  </si>
  <si>
    <t>ESTO TAB 20mg</t>
  </si>
  <si>
    <t>Trazodil 50MG</t>
  </si>
  <si>
    <t>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</si>
</sst>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6.0"/>
    <col customWidth="1" min="3" max="3" width="22.0"/>
    <col customWidth="1" min="4" max="4" width="8.86"/>
    <col customWidth="1" min="5" max="5" width="11.71"/>
    <col customWidth="1" min="6" max="9" width="16.14"/>
    <col customWidth="1" min="10" max="10" width="15.71"/>
    <col customWidth="1" min="11" max="11" width="13.86"/>
    <col customWidth="1" min="12" max="12" width="14.14"/>
    <col customWidth="1" min="13" max="20" width="22.14"/>
    <col customWidth="1" min="21" max="27" width="16.71"/>
    <col customWidth="1" min="28" max="28" width="18.71"/>
    <col customWidth="1" min="29" max="29" width="9.43"/>
    <col customWidth="1" min="30" max="36" width="10.14"/>
    <col customWidth="1" min="37" max="49" width="8.86"/>
    <col customWidth="1" min="50" max="51" width="17.86"/>
    <col customWidth="1" min="52" max="52" width="19.71"/>
    <col customWidth="1" min="53" max="57" width="17.86"/>
    <col customWidth="1" min="58" max="59" width="16.71"/>
    <col customWidth="1" min="60" max="60" width="18.43"/>
    <col customWidth="1" min="61" max="61" width="17.71"/>
    <col customWidth="1" min="62" max="62" width="13.43"/>
    <col customWidth="1" min="63" max="67" width="14.43"/>
    <col customWidth="1" min="68" max="68" width="20.71"/>
    <col customWidth="1" min="69" max="69" width="12.14"/>
    <col customWidth="1" min="70" max="70" width="11.14"/>
    <col customWidth="1" min="71" max="71" width="10.29"/>
    <col customWidth="1" min="72" max="72" width="9.86"/>
  </cols>
  <sheetData>
    <row r="1">
      <c r="B1" s="1" t="s">
        <v>0</v>
      </c>
      <c r="E1" s="2"/>
      <c r="F1" s="3" t="s">
        <v>1</v>
      </c>
      <c r="M1" s="3" t="s">
        <v>2</v>
      </c>
      <c r="AC1" s="3" t="s">
        <v>3</v>
      </c>
      <c r="AW1" s="3"/>
      <c r="AX1" s="3" t="s">
        <v>4</v>
      </c>
    </row>
    <row r="2" ht="27.0" customHeight="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4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4" t="s">
        <v>41</v>
      </c>
      <c r="AM2" s="5" t="s">
        <v>42</v>
      </c>
      <c r="AN2" s="5" t="s">
        <v>43</v>
      </c>
      <c r="AO2" s="5" t="s">
        <v>44</v>
      </c>
      <c r="AP2" s="5" t="s">
        <v>45</v>
      </c>
      <c r="AQ2" s="4" t="s">
        <v>46</v>
      </c>
      <c r="AR2" s="5" t="s">
        <v>47</v>
      </c>
      <c r="AS2" s="5" t="s">
        <v>48</v>
      </c>
      <c r="AT2" s="5" t="s">
        <v>49</v>
      </c>
      <c r="AU2" s="5" t="s">
        <v>50</v>
      </c>
      <c r="AV2" s="4" t="s">
        <v>51</v>
      </c>
      <c r="AW2" s="4" t="s">
        <v>52</v>
      </c>
      <c r="AX2" s="5" t="s">
        <v>53</v>
      </c>
      <c r="AY2" s="6" t="s">
        <v>54</v>
      </c>
      <c r="AZ2" s="5" t="s">
        <v>55</v>
      </c>
      <c r="BA2" s="6" t="s">
        <v>54</v>
      </c>
      <c r="BB2" s="5" t="s">
        <v>56</v>
      </c>
      <c r="BC2" s="6" t="s">
        <v>54</v>
      </c>
      <c r="BD2" s="5" t="s">
        <v>57</v>
      </c>
      <c r="BE2" s="6" t="s">
        <v>54</v>
      </c>
      <c r="BF2" s="5" t="s">
        <v>58</v>
      </c>
      <c r="BG2" s="4" t="s">
        <v>59</v>
      </c>
      <c r="BH2" s="7" t="s">
        <v>60</v>
      </c>
      <c r="BI2" s="4" t="s">
        <v>61</v>
      </c>
      <c r="BJ2" s="7" t="s">
        <v>62</v>
      </c>
      <c r="BK2" s="5" t="s">
        <v>63</v>
      </c>
      <c r="BL2" s="4" t="s">
        <v>59</v>
      </c>
      <c r="BM2" s="7" t="s">
        <v>60</v>
      </c>
      <c r="BN2" s="4" t="s">
        <v>61</v>
      </c>
      <c r="BO2" s="7" t="s">
        <v>62</v>
      </c>
      <c r="BP2" s="5" t="s">
        <v>64</v>
      </c>
      <c r="BQ2" s="4" t="s">
        <v>59</v>
      </c>
      <c r="BR2" s="7" t="s">
        <v>60</v>
      </c>
      <c r="BS2" s="4" t="s">
        <v>61</v>
      </c>
      <c r="BT2" s="7" t="s">
        <v>62</v>
      </c>
    </row>
    <row r="3">
      <c r="A3" s="8" t="s">
        <v>65</v>
      </c>
      <c r="B3" s="9">
        <v>45690.0</v>
      </c>
      <c r="C3" s="10">
        <v>2.0</v>
      </c>
      <c r="D3" s="10">
        <v>32.0</v>
      </c>
      <c r="E3" s="10">
        <v>1.0</v>
      </c>
      <c r="F3" s="10"/>
      <c r="G3" s="10">
        <v>2.0</v>
      </c>
      <c r="H3" s="10">
        <v>1.0</v>
      </c>
      <c r="I3" s="10">
        <v>1.0</v>
      </c>
      <c r="J3" s="10"/>
      <c r="K3" s="10">
        <v>3.0</v>
      </c>
      <c r="L3" s="10">
        <v>2.0</v>
      </c>
      <c r="M3" s="10">
        <v>2.0</v>
      </c>
      <c r="N3" s="10"/>
      <c r="O3" s="10">
        <v>1.0</v>
      </c>
      <c r="P3" s="10">
        <v>1.0</v>
      </c>
      <c r="Q3" s="10">
        <v>1.0</v>
      </c>
      <c r="R3" s="10">
        <v>1.0</v>
      </c>
      <c r="S3" s="10">
        <v>0.0</v>
      </c>
      <c r="T3" s="10">
        <v>1.0</v>
      </c>
      <c r="U3" s="10" t="s">
        <v>66</v>
      </c>
      <c r="V3" s="10">
        <v>1.0</v>
      </c>
      <c r="W3" s="10">
        <v>0.0</v>
      </c>
      <c r="X3" s="10">
        <v>1.0</v>
      </c>
      <c r="Y3" s="10">
        <v>1.0</v>
      </c>
      <c r="Z3" s="10">
        <v>0.0</v>
      </c>
      <c r="AA3" s="10">
        <v>0.0</v>
      </c>
      <c r="AB3" s="11" t="s">
        <v>67</v>
      </c>
      <c r="AC3" s="10">
        <v>2.0</v>
      </c>
      <c r="AD3" s="10">
        <v>3.0</v>
      </c>
      <c r="AE3" s="10">
        <v>2.0</v>
      </c>
      <c r="AF3" s="10">
        <v>4.0</v>
      </c>
      <c r="AG3" s="10">
        <v>2.0</v>
      </c>
      <c r="AH3" s="10">
        <v>2.0</v>
      </c>
      <c r="AI3" s="10">
        <v>2.0</v>
      </c>
      <c r="AJ3" s="10">
        <v>2.0</v>
      </c>
      <c r="AK3" s="10">
        <v>3.0</v>
      </c>
      <c r="AL3" s="10">
        <v>2.0</v>
      </c>
      <c r="AM3" s="10">
        <v>4.0</v>
      </c>
      <c r="AN3" s="10">
        <v>1.0</v>
      </c>
      <c r="AO3" s="10">
        <v>2.0</v>
      </c>
      <c r="AP3" s="10">
        <v>2.0</v>
      </c>
      <c r="AQ3" s="10">
        <v>2.0</v>
      </c>
      <c r="AR3" s="10">
        <v>1.0</v>
      </c>
      <c r="AS3" s="10">
        <v>2.0</v>
      </c>
      <c r="AT3" s="10">
        <v>1.0</v>
      </c>
      <c r="AU3" s="10">
        <v>3.0</v>
      </c>
      <c r="AV3" s="10">
        <v>4.0</v>
      </c>
      <c r="AW3" s="10">
        <f t="shared" ref="AW3:AW9" si="1">SUM(AC3:AV3)</f>
        <v>46</v>
      </c>
      <c r="AX3" s="10" t="s">
        <v>68</v>
      </c>
      <c r="AY3" s="10">
        <v>2025.0</v>
      </c>
      <c r="AZ3" s="10" t="s">
        <v>69</v>
      </c>
      <c r="BA3" s="10">
        <v>2024.0</v>
      </c>
      <c r="BB3" s="10"/>
      <c r="BC3" s="10"/>
      <c r="BD3" s="10"/>
      <c r="BE3" s="10"/>
      <c r="BF3" s="10" t="s">
        <v>70</v>
      </c>
      <c r="BG3" s="9">
        <v>45748.0</v>
      </c>
      <c r="BH3" s="9"/>
      <c r="BI3" s="12">
        <v>45964.0</v>
      </c>
      <c r="BJ3" s="12"/>
      <c r="BK3" s="6" t="s">
        <v>71</v>
      </c>
      <c r="BL3" s="9">
        <v>45748.0</v>
      </c>
      <c r="BM3" s="9"/>
      <c r="BN3" s="12">
        <v>45870.0</v>
      </c>
      <c r="BO3" s="12"/>
      <c r="BP3" s="6" t="s">
        <v>72</v>
      </c>
      <c r="BQ3" s="12">
        <v>45658.0</v>
      </c>
      <c r="BR3" s="12"/>
      <c r="BS3" s="12">
        <v>45658.0</v>
      </c>
      <c r="BT3" s="12"/>
    </row>
    <row r="4">
      <c r="A4" s="8" t="s">
        <v>73</v>
      </c>
      <c r="B4" s="12">
        <v>45690.0</v>
      </c>
      <c r="C4" s="6">
        <v>2.0</v>
      </c>
      <c r="D4" s="6">
        <v>61.0</v>
      </c>
      <c r="E4" s="6">
        <v>4.0</v>
      </c>
      <c r="F4" s="6">
        <v>5.0</v>
      </c>
      <c r="G4" s="6">
        <v>2.0</v>
      </c>
      <c r="H4" s="6">
        <v>1.0</v>
      </c>
      <c r="I4" s="6">
        <v>1.0</v>
      </c>
      <c r="J4" s="6" t="s">
        <v>74</v>
      </c>
      <c r="K4" s="6">
        <v>2.0</v>
      </c>
      <c r="L4" s="6">
        <v>5.0</v>
      </c>
      <c r="M4" s="6">
        <v>2.0</v>
      </c>
      <c r="N4" s="6"/>
      <c r="O4" s="6">
        <v>1.0</v>
      </c>
      <c r="P4" s="6">
        <v>1.0</v>
      </c>
      <c r="Q4" s="6">
        <v>1.0</v>
      </c>
      <c r="R4" s="6">
        <v>1.0</v>
      </c>
      <c r="S4" s="6">
        <v>0.0</v>
      </c>
      <c r="T4" s="6">
        <v>1.0</v>
      </c>
      <c r="U4" s="6" t="s">
        <v>75</v>
      </c>
      <c r="V4" s="6">
        <v>1.0</v>
      </c>
      <c r="W4" s="6">
        <v>0.0</v>
      </c>
      <c r="X4" s="6">
        <v>1.0</v>
      </c>
      <c r="Y4" s="6">
        <v>1.0</v>
      </c>
      <c r="Z4" s="6">
        <v>1.0</v>
      </c>
      <c r="AA4" s="6">
        <v>0.0</v>
      </c>
      <c r="AB4" s="6"/>
      <c r="AC4" s="6">
        <v>2.0</v>
      </c>
      <c r="AD4" s="6">
        <v>3.0</v>
      </c>
      <c r="AE4" s="6">
        <v>3.0</v>
      </c>
      <c r="AF4" s="6">
        <v>2.0</v>
      </c>
      <c r="AG4" s="6">
        <v>2.0</v>
      </c>
      <c r="AH4" s="6">
        <v>3.0</v>
      </c>
      <c r="AI4" s="6">
        <v>2.0</v>
      </c>
      <c r="AJ4" s="6">
        <v>1.0</v>
      </c>
      <c r="AK4" s="6">
        <v>2.0</v>
      </c>
      <c r="AL4" s="6">
        <v>2.0</v>
      </c>
      <c r="AM4" s="6">
        <v>3.0</v>
      </c>
      <c r="AN4" s="6">
        <v>1.0</v>
      </c>
      <c r="AO4" s="6">
        <v>1.0</v>
      </c>
      <c r="AP4" s="6">
        <v>4.0</v>
      </c>
      <c r="AQ4" s="6">
        <v>1.0</v>
      </c>
      <c r="AR4" s="6">
        <v>2.0</v>
      </c>
      <c r="AS4" s="6">
        <v>3.0</v>
      </c>
      <c r="AT4" s="6">
        <v>2.0</v>
      </c>
      <c r="AU4" s="6">
        <v>4.0</v>
      </c>
      <c r="AV4" s="6">
        <v>4.0</v>
      </c>
      <c r="AW4" s="10">
        <f t="shared" si="1"/>
        <v>47</v>
      </c>
      <c r="AX4" s="6" t="s">
        <v>76</v>
      </c>
      <c r="AY4" s="6">
        <v>2024.0</v>
      </c>
      <c r="AZ4" s="6" t="s">
        <v>68</v>
      </c>
      <c r="BA4" s="6">
        <v>2025.0</v>
      </c>
      <c r="BB4" s="7" t="s">
        <v>77</v>
      </c>
      <c r="BC4" s="12">
        <v>45748.0</v>
      </c>
      <c r="BD4" s="6" t="s">
        <v>78</v>
      </c>
      <c r="BE4" s="12">
        <v>45231.0</v>
      </c>
      <c r="BF4" s="6" t="s">
        <v>79</v>
      </c>
      <c r="BG4" s="12">
        <v>45748.0</v>
      </c>
      <c r="BH4" s="12"/>
      <c r="BI4" s="12">
        <v>45870.0</v>
      </c>
      <c r="BJ4" s="12"/>
      <c r="BK4" s="6" t="s">
        <v>80</v>
      </c>
      <c r="BL4" s="12">
        <v>45231.0</v>
      </c>
      <c r="BM4" s="12"/>
      <c r="BN4" s="12"/>
      <c r="BO4" s="12"/>
      <c r="BP4" s="6"/>
      <c r="BQ4" s="12"/>
      <c r="BR4" s="12"/>
      <c r="BS4" s="12"/>
      <c r="BT4" s="12"/>
    </row>
    <row r="5">
      <c r="A5" s="8" t="s">
        <v>81</v>
      </c>
      <c r="B5" s="12">
        <v>45721.0</v>
      </c>
      <c r="C5" s="6">
        <v>2.0</v>
      </c>
      <c r="D5" s="6">
        <v>53.0</v>
      </c>
      <c r="E5" s="6">
        <v>1.0</v>
      </c>
      <c r="F5" s="6"/>
      <c r="G5" s="6">
        <v>2.0</v>
      </c>
      <c r="H5" s="6">
        <v>1.0</v>
      </c>
      <c r="I5" s="6">
        <v>1.0</v>
      </c>
      <c r="J5" s="6"/>
      <c r="K5" s="6">
        <v>2.0</v>
      </c>
      <c r="L5" s="6">
        <v>2.0</v>
      </c>
      <c r="M5" s="6">
        <v>2.0</v>
      </c>
      <c r="N5" s="6"/>
      <c r="O5" s="6">
        <v>1.0</v>
      </c>
      <c r="P5" s="6">
        <v>1.0</v>
      </c>
      <c r="Q5" s="6">
        <v>1.0</v>
      </c>
      <c r="R5" s="6">
        <v>1.0</v>
      </c>
      <c r="S5" s="6">
        <v>1.0</v>
      </c>
      <c r="T5" s="6">
        <v>1.0</v>
      </c>
      <c r="U5" s="6"/>
      <c r="V5" s="6">
        <v>0.0</v>
      </c>
      <c r="W5" s="6">
        <v>0.0</v>
      </c>
      <c r="X5" s="6">
        <v>1.0</v>
      </c>
      <c r="Y5" s="6">
        <v>1.0</v>
      </c>
      <c r="Z5" s="6">
        <v>0.0</v>
      </c>
      <c r="AA5" s="6">
        <v>0.0</v>
      </c>
      <c r="AB5" s="6"/>
      <c r="AC5" s="6">
        <v>2.0</v>
      </c>
      <c r="AD5" s="6">
        <v>4.0</v>
      </c>
      <c r="AE5" s="6">
        <v>2.0</v>
      </c>
      <c r="AF5" s="6">
        <v>3.0</v>
      </c>
      <c r="AG5" s="6">
        <v>1.0</v>
      </c>
      <c r="AH5" s="6">
        <v>2.0</v>
      </c>
      <c r="AI5" s="6">
        <v>2.0</v>
      </c>
      <c r="AJ5" s="6">
        <v>2.0</v>
      </c>
      <c r="AK5" s="6">
        <v>1.0</v>
      </c>
      <c r="AL5" s="6">
        <v>2.0</v>
      </c>
      <c r="AM5" s="6">
        <v>1.0</v>
      </c>
      <c r="AN5" s="6">
        <v>2.0</v>
      </c>
      <c r="AO5" s="6">
        <v>3.0</v>
      </c>
      <c r="AP5" s="6">
        <v>2.0</v>
      </c>
      <c r="AQ5" s="6">
        <v>1.0</v>
      </c>
      <c r="AR5" s="6">
        <v>2.0</v>
      </c>
      <c r="AS5" s="6">
        <v>1.0</v>
      </c>
      <c r="AT5" s="6">
        <v>2.0</v>
      </c>
      <c r="AU5" s="6">
        <v>4.0</v>
      </c>
      <c r="AV5" s="6">
        <v>4.0</v>
      </c>
      <c r="AW5" s="10">
        <f t="shared" si="1"/>
        <v>43</v>
      </c>
      <c r="AX5" s="6" t="s">
        <v>68</v>
      </c>
      <c r="AY5" s="6">
        <v>2025.0</v>
      </c>
      <c r="AZ5" s="6"/>
      <c r="BA5" s="6"/>
      <c r="BB5" s="6"/>
      <c r="BC5" s="6"/>
      <c r="BD5" s="6"/>
      <c r="BE5" s="6"/>
      <c r="BF5" s="6"/>
      <c r="BG5" s="12"/>
      <c r="BH5" s="12"/>
      <c r="BI5" s="12"/>
      <c r="BJ5" s="12"/>
      <c r="BK5" s="6"/>
      <c r="BL5" s="12"/>
      <c r="BM5" s="12"/>
      <c r="BN5" s="12"/>
      <c r="BO5" s="12"/>
      <c r="BP5" s="6"/>
      <c r="BQ5" s="12"/>
      <c r="BR5" s="12"/>
      <c r="BS5" s="12"/>
      <c r="BT5" s="12"/>
    </row>
    <row r="6">
      <c r="A6" s="8" t="s">
        <v>82</v>
      </c>
      <c r="B6" s="12">
        <v>45720.0</v>
      </c>
      <c r="C6" s="6">
        <v>2.0</v>
      </c>
      <c r="D6" s="6">
        <v>19.0</v>
      </c>
      <c r="E6" s="6">
        <v>5.0</v>
      </c>
      <c r="F6" s="6"/>
      <c r="G6" s="6">
        <v>1.0</v>
      </c>
      <c r="H6" s="6">
        <v>1.0</v>
      </c>
      <c r="I6" s="6">
        <v>1.0</v>
      </c>
      <c r="J6" s="6"/>
      <c r="K6" s="6">
        <v>3.0</v>
      </c>
      <c r="L6" s="6">
        <v>1.0</v>
      </c>
      <c r="M6" s="6">
        <v>5.0</v>
      </c>
      <c r="N6" s="6" t="s">
        <v>83</v>
      </c>
      <c r="O6" s="6">
        <v>1.0</v>
      </c>
      <c r="P6" s="6">
        <v>1.0</v>
      </c>
      <c r="Q6" s="6">
        <v>1.0</v>
      </c>
      <c r="R6" s="6">
        <v>1.0</v>
      </c>
      <c r="S6" s="6">
        <v>1.0</v>
      </c>
      <c r="T6" s="6">
        <v>1.0</v>
      </c>
      <c r="U6" s="6" t="s">
        <v>84</v>
      </c>
      <c r="V6" s="6">
        <v>1.0</v>
      </c>
      <c r="W6" s="6">
        <v>1.0</v>
      </c>
      <c r="X6" s="6">
        <v>0.0</v>
      </c>
      <c r="Y6" s="6">
        <v>0.0</v>
      </c>
      <c r="Z6" s="6">
        <v>0.0</v>
      </c>
      <c r="AA6" s="6">
        <v>0.0</v>
      </c>
      <c r="AB6" s="6"/>
      <c r="AC6" s="6">
        <v>2.0</v>
      </c>
      <c r="AD6" s="6">
        <v>2.0</v>
      </c>
      <c r="AE6" s="6">
        <v>3.0</v>
      </c>
      <c r="AF6" s="6">
        <v>3.0</v>
      </c>
      <c r="AG6" s="6">
        <v>1.0</v>
      </c>
      <c r="AH6" s="6">
        <v>2.0</v>
      </c>
      <c r="AI6" s="6">
        <v>4.0</v>
      </c>
      <c r="AJ6" s="6">
        <v>1.0</v>
      </c>
      <c r="AK6" s="6">
        <v>3.0</v>
      </c>
      <c r="AL6" s="6">
        <v>2.0</v>
      </c>
      <c r="AM6" s="6">
        <v>4.0</v>
      </c>
      <c r="AN6" s="6">
        <v>2.0</v>
      </c>
      <c r="AO6" s="6">
        <v>2.0</v>
      </c>
      <c r="AP6" s="6">
        <v>3.0</v>
      </c>
      <c r="AQ6" s="6">
        <v>1.0</v>
      </c>
      <c r="AR6" s="6">
        <v>3.0</v>
      </c>
      <c r="AS6" s="6">
        <v>4.0</v>
      </c>
      <c r="AT6" s="6">
        <v>3.0</v>
      </c>
      <c r="AU6" s="6">
        <v>2.0</v>
      </c>
      <c r="AV6" s="6">
        <v>4.0</v>
      </c>
      <c r="AW6" s="10">
        <f t="shared" si="1"/>
        <v>51</v>
      </c>
      <c r="AX6" s="6" t="s">
        <v>85</v>
      </c>
      <c r="AY6" s="12">
        <v>45962.0</v>
      </c>
      <c r="AZ6" s="6" t="s">
        <v>86</v>
      </c>
      <c r="BA6" s="12">
        <v>45962.0</v>
      </c>
      <c r="BB6" s="6" t="s">
        <v>87</v>
      </c>
      <c r="BC6" s="12">
        <v>45778.0</v>
      </c>
      <c r="BD6" s="6"/>
      <c r="BE6" s="6"/>
      <c r="BF6" s="6" t="s">
        <v>88</v>
      </c>
      <c r="BG6" s="12"/>
      <c r="BH6" s="12">
        <v>45657.0</v>
      </c>
      <c r="BI6" s="12"/>
      <c r="BJ6" s="12">
        <v>45972.0</v>
      </c>
      <c r="BK6" s="6" t="s">
        <v>89</v>
      </c>
      <c r="BL6" s="12"/>
      <c r="BM6" s="12">
        <v>45657.0</v>
      </c>
      <c r="BN6" s="12"/>
      <c r="BO6" s="12">
        <v>45972.0</v>
      </c>
      <c r="BP6" s="6" t="s">
        <v>90</v>
      </c>
      <c r="BQ6" s="12"/>
      <c r="BR6" s="12">
        <v>45807.0</v>
      </c>
      <c r="BS6" s="12"/>
      <c r="BT6" s="12">
        <v>45972.0</v>
      </c>
    </row>
    <row r="7">
      <c r="A7" s="8" t="s">
        <v>91</v>
      </c>
      <c r="B7" s="12">
        <v>45739.0</v>
      </c>
      <c r="C7" s="6">
        <v>2.0</v>
      </c>
      <c r="D7" s="6">
        <v>25.0</v>
      </c>
      <c r="E7" s="6">
        <v>1.0</v>
      </c>
      <c r="F7" s="6"/>
      <c r="G7" s="6">
        <v>2.0</v>
      </c>
      <c r="H7" s="6">
        <v>3.0</v>
      </c>
      <c r="I7" s="6">
        <v>1.0</v>
      </c>
      <c r="J7" s="6"/>
      <c r="K7" s="6">
        <v>3.0</v>
      </c>
      <c r="L7" s="6">
        <v>4.0</v>
      </c>
      <c r="M7" s="6">
        <v>1.0</v>
      </c>
      <c r="N7" s="6"/>
      <c r="O7" s="6">
        <v>1.0</v>
      </c>
      <c r="P7" s="6">
        <v>1.0</v>
      </c>
      <c r="Q7" s="6">
        <v>1.0</v>
      </c>
      <c r="R7" s="6">
        <v>1.0</v>
      </c>
      <c r="S7" s="6">
        <v>0.0</v>
      </c>
      <c r="T7" s="6">
        <v>1.0</v>
      </c>
      <c r="U7" s="6" t="s">
        <v>92</v>
      </c>
      <c r="V7" s="6">
        <v>0.0</v>
      </c>
      <c r="W7" s="6">
        <v>0.0</v>
      </c>
      <c r="X7" s="6">
        <v>1.0</v>
      </c>
      <c r="Y7" s="6">
        <v>1.0</v>
      </c>
      <c r="Z7" s="6">
        <v>0.0</v>
      </c>
      <c r="AA7" s="6">
        <v>0.0</v>
      </c>
      <c r="AB7" s="6" t="s">
        <v>93</v>
      </c>
      <c r="AC7" s="6">
        <v>2.0</v>
      </c>
      <c r="AD7" s="6">
        <v>2.0</v>
      </c>
      <c r="AE7" s="6">
        <v>2.0</v>
      </c>
      <c r="AF7" s="6">
        <v>3.0</v>
      </c>
      <c r="AG7" s="6">
        <v>1.0</v>
      </c>
      <c r="AH7" s="6">
        <v>2.0</v>
      </c>
      <c r="AI7" s="6">
        <v>2.0</v>
      </c>
      <c r="AJ7" s="6">
        <v>1.0</v>
      </c>
      <c r="AK7" s="6">
        <v>3.0</v>
      </c>
      <c r="AL7" s="6">
        <v>3.0</v>
      </c>
      <c r="AM7" s="6">
        <v>3.0</v>
      </c>
      <c r="AN7" s="6">
        <v>2.0</v>
      </c>
      <c r="AO7" s="6">
        <v>3.0</v>
      </c>
      <c r="AP7" s="6">
        <v>2.0</v>
      </c>
      <c r="AQ7" s="6">
        <v>1.0</v>
      </c>
      <c r="AR7" s="6">
        <v>2.0</v>
      </c>
      <c r="AS7" s="6">
        <v>2.0</v>
      </c>
      <c r="AT7" s="6">
        <v>1.0</v>
      </c>
      <c r="AU7" s="6">
        <v>2.0</v>
      </c>
      <c r="AV7" s="6">
        <v>3.0</v>
      </c>
      <c r="AW7" s="10">
        <f t="shared" si="1"/>
        <v>42</v>
      </c>
      <c r="AX7" s="6" t="s">
        <v>94</v>
      </c>
      <c r="AY7" s="6">
        <v>2022.0</v>
      </c>
      <c r="AZ7" s="6" t="s">
        <v>95</v>
      </c>
      <c r="BA7" s="12">
        <v>45627.0</v>
      </c>
      <c r="BB7" s="6"/>
      <c r="BC7" s="6"/>
      <c r="BD7" s="6"/>
      <c r="BE7" s="6"/>
      <c r="BF7" s="6" t="s">
        <v>96</v>
      </c>
      <c r="BG7" s="12"/>
      <c r="BH7" s="12">
        <v>45669.0</v>
      </c>
      <c r="BI7" s="12"/>
      <c r="BJ7" s="12">
        <v>45669.0</v>
      </c>
      <c r="BK7" s="6" t="s">
        <v>97</v>
      </c>
      <c r="BL7" s="12"/>
      <c r="BM7" s="12">
        <v>44915.0</v>
      </c>
      <c r="BN7" s="12"/>
      <c r="BO7" s="12">
        <v>45841.0</v>
      </c>
      <c r="BP7" s="6"/>
      <c r="BQ7" s="6"/>
      <c r="BR7" s="6"/>
      <c r="BS7" s="6"/>
      <c r="BT7" s="6"/>
    </row>
    <row r="8">
      <c r="A8" s="8" t="s">
        <v>98</v>
      </c>
      <c r="B8" s="12">
        <v>45746.0</v>
      </c>
      <c r="C8" s="6">
        <v>2.0</v>
      </c>
      <c r="D8" s="6">
        <v>32.0</v>
      </c>
      <c r="E8" s="6">
        <v>1.0</v>
      </c>
      <c r="F8" s="6"/>
      <c r="G8" s="6">
        <v>2.0</v>
      </c>
      <c r="H8" s="6">
        <v>1.0</v>
      </c>
      <c r="I8" s="6">
        <v>1.0</v>
      </c>
      <c r="J8" s="6"/>
      <c r="K8" s="6">
        <v>3.0</v>
      </c>
      <c r="L8" s="6">
        <v>2.0</v>
      </c>
      <c r="M8" s="6">
        <v>2.0</v>
      </c>
      <c r="N8" s="6"/>
      <c r="O8" s="6">
        <v>1.0</v>
      </c>
      <c r="P8" s="6">
        <v>0.0</v>
      </c>
      <c r="Q8" s="6">
        <v>1.0</v>
      </c>
      <c r="R8" s="6">
        <v>1.0</v>
      </c>
      <c r="S8" s="6">
        <v>1.0</v>
      </c>
      <c r="T8" s="6">
        <v>0.0</v>
      </c>
      <c r="U8" s="6"/>
      <c r="V8" s="6">
        <v>1.0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/>
      <c r="AC8" s="6">
        <v>3.0</v>
      </c>
      <c r="AD8" s="6">
        <v>3.0</v>
      </c>
      <c r="AE8" s="6">
        <v>2.0</v>
      </c>
      <c r="AF8" s="6">
        <v>2.0</v>
      </c>
      <c r="AG8" s="6">
        <v>1.0</v>
      </c>
      <c r="AH8" s="6">
        <v>2.0</v>
      </c>
      <c r="AI8" s="6">
        <v>2.0</v>
      </c>
      <c r="AJ8" s="6">
        <v>2.0</v>
      </c>
      <c r="AK8" s="6">
        <v>2.0</v>
      </c>
      <c r="AL8" s="6">
        <v>3.0</v>
      </c>
      <c r="AM8" s="6">
        <v>1.0</v>
      </c>
      <c r="AN8" s="6">
        <v>2.0</v>
      </c>
      <c r="AO8" s="6">
        <v>2.0</v>
      </c>
      <c r="AP8" s="6">
        <v>2.0</v>
      </c>
      <c r="AQ8" s="6">
        <v>1.0</v>
      </c>
      <c r="AR8" s="6">
        <v>2.0</v>
      </c>
      <c r="AS8" s="6">
        <v>2.0</v>
      </c>
      <c r="AT8" s="6">
        <v>2.0</v>
      </c>
      <c r="AU8" s="6">
        <v>3.0</v>
      </c>
      <c r="AV8" s="6">
        <v>3.0</v>
      </c>
      <c r="AW8" s="10">
        <f t="shared" si="1"/>
        <v>42</v>
      </c>
      <c r="AX8" s="6" t="s">
        <v>95</v>
      </c>
      <c r="AY8" s="12">
        <v>45627.0</v>
      </c>
      <c r="AZ8" s="6"/>
      <c r="BA8" s="6"/>
      <c r="BB8" s="6"/>
      <c r="BC8" s="6"/>
      <c r="BD8" s="6"/>
      <c r="BE8" s="6"/>
      <c r="BF8" s="6" t="s">
        <v>99</v>
      </c>
      <c r="BG8" s="12">
        <v>45809.0</v>
      </c>
      <c r="BH8" s="6"/>
      <c r="BI8" s="12">
        <v>45962.0</v>
      </c>
      <c r="BJ8" s="6"/>
      <c r="BK8" s="6" t="s">
        <v>100</v>
      </c>
      <c r="BL8" s="12">
        <v>45809.0</v>
      </c>
      <c r="BM8" s="6"/>
      <c r="BN8" s="6"/>
      <c r="BO8" s="6"/>
      <c r="BP8" s="6"/>
      <c r="BQ8" s="6"/>
      <c r="BR8" s="6"/>
      <c r="BS8" s="6"/>
      <c r="BT8" s="6"/>
    </row>
    <row r="9">
      <c r="A9" s="8" t="s">
        <v>101</v>
      </c>
      <c r="B9" s="12">
        <v>45756.0</v>
      </c>
      <c r="C9" s="6">
        <v>1.0</v>
      </c>
      <c r="D9" s="6">
        <v>27.0</v>
      </c>
      <c r="E9" s="6">
        <v>1.0</v>
      </c>
      <c r="F9" s="6"/>
      <c r="G9" s="6">
        <v>2.0</v>
      </c>
      <c r="H9" s="6">
        <v>1.0</v>
      </c>
      <c r="I9" s="6">
        <v>1.0</v>
      </c>
      <c r="J9" s="6"/>
      <c r="K9" s="6">
        <v>2.0</v>
      </c>
      <c r="L9" s="6">
        <v>5.0</v>
      </c>
      <c r="M9" s="6">
        <v>2.0</v>
      </c>
      <c r="N9" s="6"/>
      <c r="O9" s="6">
        <v>0.0</v>
      </c>
      <c r="P9" s="6">
        <v>0.0</v>
      </c>
      <c r="Q9" s="6">
        <v>0.0</v>
      </c>
      <c r="R9" s="6">
        <v>1.0</v>
      </c>
      <c r="S9" s="6">
        <v>0.0</v>
      </c>
      <c r="T9" s="6">
        <v>0.0</v>
      </c>
      <c r="U9" s="6"/>
      <c r="V9" s="6">
        <v>0.0</v>
      </c>
      <c r="W9" s="6">
        <v>0.0</v>
      </c>
      <c r="X9" s="6">
        <v>1.0</v>
      </c>
      <c r="Y9" s="6">
        <v>0.0</v>
      </c>
      <c r="Z9" s="6">
        <v>1.0</v>
      </c>
      <c r="AA9" s="6">
        <v>0.0</v>
      </c>
      <c r="AB9" s="6"/>
      <c r="AC9" s="6">
        <v>3.0</v>
      </c>
      <c r="AD9" s="6">
        <v>2.0</v>
      </c>
      <c r="AE9" s="6">
        <v>2.0</v>
      </c>
      <c r="AF9" s="6">
        <v>3.0</v>
      </c>
      <c r="AG9" s="6">
        <v>1.0</v>
      </c>
      <c r="AH9" s="6">
        <v>3.0</v>
      </c>
      <c r="AI9" s="6">
        <v>3.0</v>
      </c>
      <c r="AJ9" s="6">
        <v>1.0</v>
      </c>
      <c r="AK9" s="6">
        <v>1.0</v>
      </c>
      <c r="AL9" s="6">
        <v>2.0</v>
      </c>
      <c r="AM9" s="6">
        <v>1.0</v>
      </c>
      <c r="AN9" s="6">
        <v>1.0</v>
      </c>
      <c r="AO9" s="6">
        <v>3.0</v>
      </c>
      <c r="AP9" s="6">
        <v>3.0</v>
      </c>
      <c r="AQ9" s="6">
        <v>1.0</v>
      </c>
      <c r="AR9" s="6">
        <v>2.0</v>
      </c>
      <c r="AS9" s="6">
        <v>1.0</v>
      </c>
      <c r="AT9" s="6">
        <v>1.0</v>
      </c>
      <c r="AU9" s="6">
        <v>3.0</v>
      </c>
      <c r="AV9" s="6">
        <v>1.0</v>
      </c>
      <c r="AW9" s="10">
        <f t="shared" si="1"/>
        <v>38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</row>
    <row r="11"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F1:L1"/>
    <mergeCell ref="M1:AB1"/>
    <mergeCell ref="AC1:AV1"/>
    <mergeCell ref="AX1:BT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29"/>
    <col customWidth="1" min="2" max="2" width="20.71"/>
    <col customWidth="1" min="3" max="3" width="16.0"/>
    <col customWidth="1" min="4" max="4" width="22.0"/>
    <col customWidth="1" min="5" max="5" width="16.29"/>
    <col customWidth="1" min="6" max="6" width="23.43"/>
    <col customWidth="1" min="7" max="9" width="16.14"/>
    <col customWidth="1" min="10" max="26" width="8.86"/>
  </cols>
  <sheetData>
    <row r="1">
      <c r="B1" s="4" t="s">
        <v>5</v>
      </c>
      <c r="C1" s="8" t="s">
        <v>65</v>
      </c>
      <c r="D1" s="8" t="s">
        <v>73</v>
      </c>
      <c r="E1" s="8" t="s">
        <v>81</v>
      </c>
      <c r="F1" s="8" t="s">
        <v>82</v>
      </c>
      <c r="G1" s="8" t="s">
        <v>91</v>
      </c>
      <c r="H1" s="8" t="s">
        <v>98</v>
      </c>
      <c r="I1" s="8" t="s">
        <v>101</v>
      </c>
    </row>
    <row r="2">
      <c r="B2" s="5" t="s">
        <v>6</v>
      </c>
      <c r="C2" s="9">
        <v>45690.0</v>
      </c>
      <c r="D2" s="12">
        <v>45690.0</v>
      </c>
      <c r="E2" s="12">
        <v>45721.0</v>
      </c>
      <c r="F2" s="12">
        <v>45720.0</v>
      </c>
      <c r="G2" s="12">
        <v>45739.0</v>
      </c>
      <c r="H2" s="12">
        <v>45746.0</v>
      </c>
      <c r="I2" s="12">
        <v>45756.0</v>
      </c>
    </row>
    <row r="3">
      <c r="A3" s="1" t="s">
        <v>0</v>
      </c>
      <c r="B3" s="5" t="s">
        <v>7</v>
      </c>
      <c r="C3" s="10">
        <v>2.0</v>
      </c>
      <c r="D3" s="6">
        <v>2.0</v>
      </c>
      <c r="E3" s="6">
        <v>2.0</v>
      </c>
      <c r="F3" s="6">
        <v>2.0</v>
      </c>
      <c r="G3" s="6">
        <v>2.0</v>
      </c>
      <c r="H3" s="6">
        <v>2.0</v>
      </c>
      <c r="I3" s="6">
        <v>1.0</v>
      </c>
    </row>
    <row r="4">
      <c r="B4" s="5" t="s">
        <v>8</v>
      </c>
      <c r="C4" s="10">
        <v>32.0</v>
      </c>
      <c r="D4" s="6">
        <v>61.0</v>
      </c>
      <c r="E4" s="6">
        <v>53.0</v>
      </c>
      <c r="F4" s="6">
        <v>19.0</v>
      </c>
      <c r="G4" s="6">
        <v>25.0</v>
      </c>
      <c r="H4" s="6">
        <v>32.0</v>
      </c>
      <c r="I4" s="6">
        <v>27.0</v>
      </c>
    </row>
    <row r="5">
      <c r="B5" s="5" t="s">
        <v>9</v>
      </c>
      <c r="C5" s="10">
        <v>1.0</v>
      </c>
      <c r="D5" s="6">
        <v>4.0</v>
      </c>
      <c r="E5" s="6">
        <v>1.0</v>
      </c>
      <c r="F5" s="6">
        <v>5.0</v>
      </c>
      <c r="G5" s="6">
        <v>1.0</v>
      </c>
      <c r="H5" s="6">
        <v>1.0</v>
      </c>
      <c r="I5" s="6">
        <v>1.0</v>
      </c>
    </row>
    <row r="6">
      <c r="A6" s="2"/>
      <c r="B6" s="5" t="s">
        <v>9</v>
      </c>
      <c r="C6" s="10"/>
      <c r="D6" s="6">
        <v>5.0</v>
      </c>
      <c r="E6" s="6"/>
      <c r="F6" s="6"/>
      <c r="G6" s="6"/>
      <c r="H6" s="6"/>
      <c r="I6" s="6"/>
    </row>
    <row r="7">
      <c r="A7" s="3" t="s">
        <v>1</v>
      </c>
      <c r="B7" s="5" t="s">
        <v>10</v>
      </c>
      <c r="C7" s="10">
        <v>2.0</v>
      </c>
      <c r="D7" s="6">
        <v>2.0</v>
      </c>
      <c r="E7" s="6">
        <v>2.0</v>
      </c>
      <c r="F7" s="6">
        <v>1.0</v>
      </c>
      <c r="G7" s="6">
        <v>2.0</v>
      </c>
      <c r="H7" s="6">
        <v>2.0</v>
      </c>
      <c r="I7" s="6">
        <v>2.0</v>
      </c>
    </row>
    <row r="8">
      <c r="B8" s="5" t="s">
        <v>11</v>
      </c>
      <c r="C8" s="10">
        <v>1.0</v>
      </c>
      <c r="D8" s="6">
        <v>1.0</v>
      </c>
      <c r="E8" s="6">
        <v>1.0</v>
      </c>
      <c r="F8" s="6">
        <v>1.0</v>
      </c>
      <c r="G8" s="6">
        <v>3.0</v>
      </c>
      <c r="H8" s="6">
        <v>1.0</v>
      </c>
      <c r="I8" s="6">
        <v>1.0</v>
      </c>
    </row>
    <row r="9">
      <c r="B9" s="5" t="s">
        <v>12</v>
      </c>
      <c r="C9" s="10">
        <v>1.0</v>
      </c>
      <c r="D9" s="6">
        <v>1.0</v>
      </c>
      <c r="E9" s="6">
        <v>1.0</v>
      </c>
      <c r="F9" s="6">
        <v>1.0</v>
      </c>
      <c r="G9" s="6">
        <v>1.0</v>
      </c>
      <c r="H9" s="6">
        <v>1.0</v>
      </c>
      <c r="I9" s="6">
        <v>1.0</v>
      </c>
    </row>
    <row r="10">
      <c r="B10" s="5" t="s">
        <v>13</v>
      </c>
      <c r="C10" s="10"/>
      <c r="D10" s="6" t="s">
        <v>74</v>
      </c>
      <c r="E10" s="6"/>
      <c r="F10" s="6"/>
      <c r="G10" s="6"/>
      <c r="H10" s="6"/>
      <c r="I10" s="6"/>
    </row>
    <row r="11">
      <c r="B11" s="5" t="s">
        <v>14</v>
      </c>
      <c r="C11" s="10">
        <v>3.0</v>
      </c>
      <c r="D11" s="6">
        <v>2.0</v>
      </c>
      <c r="E11" s="6">
        <v>2.0</v>
      </c>
      <c r="F11" s="6">
        <v>3.0</v>
      </c>
      <c r="G11" s="6">
        <v>3.0</v>
      </c>
      <c r="H11" s="6">
        <v>3.0</v>
      </c>
      <c r="I11" s="6">
        <v>2.0</v>
      </c>
    </row>
    <row r="12">
      <c r="B12" s="5" t="s">
        <v>15</v>
      </c>
      <c r="C12" s="10">
        <v>2.0</v>
      </c>
      <c r="D12" s="6">
        <v>5.0</v>
      </c>
      <c r="E12" s="6">
        <v>2.0</v>
      </c>
      <c r="F12" s="6">
        <v>1.0</v>
      </c>
      <c r="G12" s="6">
        <v>4.0</v>
      </c>
      <c r="H12" s="6">
        <v>2.0</v>
      </c>
      <c r="I12" s="6">
        <v>5.0</v>
      </c>
    </row>
    <row r="13">
      <c r="B13" s="5" t="s">
        <v>16</v>
      </c>
      <c r="C13" s="10">
        <v>2.0</v>
      </c>
      <c r="D13" s="6">
        <v>2.0</v>
      </c>
      <c r="E13" s="6">
        <v>2.0</v>
      </c>
      <c r="F13" s="6">
        <v>5.0</v>
      </c>
      <c r="G13" s="6">
        <v>1.0</v>
      </c>
      <c r="H13" s="6">
        <v>2.0</v>
      </c>
      <c r="I13" s="6">
        <v>2.0</v>
      </c>
    </row>
    <row r="14">
      <c r="A14" s="3" t="s">
        <v>2</v>
      </c>
      <c r="B14" s="5" t="s">
        <v>17</v>
      </c>
      <c r="C14" s="10"/>
      <c r="D14" s="6"/>
      <c r="E14" s="6"/>
      <c r="F14" s="6" t="s">
        <v>83</v>
      </c>
      <c r="G14" s="6"/>
      <c r="H14" s="6"/>
      <c r="I14" s="6"/>
    </row>
    <row r="15">
      <c r="B15" s="5" t="s">
        <v>18</v>
      </c>
      <c r="C15" s="10">
        <v>1.0</v>
      </c>
      <c r="D15" s="6">
        <v>1.0</v>
      </c>
      <c r="E15" s="6">
        <v>1.0</v>
      </c>
      <c r="F15" s="6">
        <v>1.0</v>
      </c>
      <c r="G15" s="6">
        <v>1.0</v>
      </c>
      <c r="H15" s="6">
        <v>1.0</v>
      </c>
      <c r="I15" s="6">
        <v>0.0</v>
      </c>
    </row>
    <row r="16">
      <c r="B16" s="5" t="s">
        <v>19</v>
      </c>
      <c r="C16" s="10">
        <v>1.0</v>
      </c>
      <c r="D16" s="6">
        <v>1.0</v>
      </c>
      <c r="E16" s="6">
        <v>1.0</v>
      </c>
      <c r="F16" s="6">
        <v>1.0</v>
      </c>
      <c r="G16" s="6">
        <v>1.0</v>
      </c>
      <c r="H16" s="6">
        <v>0.0</v>
      </c>
      <c r="I16" s="6">
        <v>0.0</v>
      </c>
    </row>
    <row r="17">
      <c r="B17" s="5" t="s">
        <v>20</v>
      </c>
      <c r="C17" s="10">
        <v>1.0</v>
      </c>
      <c r="D17" s="6">
        <v>1.0</v>
      </c>
      <c r="E17" s="6">
        <v>1.0</v>
      </c>
      <c r="F17" s="6">
        <v>1.0</v>
      </c>
      <c r="G17" s="6">
        <v>1.0</v>
      </c>
      <c r="H17" s="6">
        <v>1.0</v>
      </c>
      <c r="I17" s="6">
        <v>0.0</v>
      </c>
    </row>
    <row r="18">
      <c r="B18" s="5" t="s">
        <v>21</v>
      </c>
      <c r="C18" s="10">
        <v>1.0</v>
      </c>
      <c r="D18" s="6">
        <v>1.0</v>
      </c>
      <c r="E18" s="6">
        <v>1.0</v>
      </c>
      <c r="F18" s="6">
        <v>1.0</v>
      </c>
      <c r="G18" s="6">
        <v>1.0</v>
      </c>
      <c r="H18" s="6">
        <v>1.0</v>
      </c>
      <c r="I18" s="6">
        <v>1.0</v>
      </c>
    </row>
    <row r="19">
      <c r="B19" s="5" t="s">
        <v>22</v>
      </c>
      <c r="C19" s="10">
        <v>0.0</v>
      </c>
      <c r="D19" s="6">
        <v>0.0</v>
      </c>
      <c r="E19" s="6">
        <v>1.0</v>
      </c>
      <c r="F19" s="6">
        <v>1.0</v>
      </c>
      <c r="G19" s="6">
        <v>0.0</v>
      </c>
      <c r="H19" s="6">
        <v>1.0</v>
      </c>
      <c r="I19" s="6">
        <v>0.0</v>
      </c>
    </row>
    <row r="20">
      <c r="B20" s="5" t="s">
        <v>23</v>
      </c>
      <c r="C20" s="10">
        <v>1.0</v>
      </c>
      <c r="D20" s="6">
        <v>1.0</v>
      </c>
      <c r="E20" s="6">
        <v>1.0</v>
      </c>
      <c r="F20" s="6">
        <v>1.0</v>
      </c>
      <c r="G20" s="6">
        <v>1.0</v>
      </c>
      <c r="H20" s="6">
        <v>0.0</v>
      </c>
      <c r="I20" s="6">
        <v>0.0</v>
      </c>
    </row>
    <row r="21" ht="15.75" customHeight="1">
      <c r="B21" s="5" t="s">
        <v>24</v>
      </c>
      <c r="C21" s="10" t="s">
        <v>66</v>
      </c>
      <c r="D21" s="6" t="s">
        <v>75</v>
      </c>
      <c r="E21" s="6"/>
      <c r="F21" s="6" t="s">
        <v>84</v>
      </c>
      <c r="G21" s="6" t="s">
        <v>92</v>
      </c>
      <c r="H21" s="6"/>
      <c r="I21" s="6"/>
    </row>
    <row r="22" ht="15.75" customHeight="1">
      <c r="B22" s="5" t="s">
        <v>25</v>
      </c>
      <c r="C22" s="10">
        <v>1.0</v>
      </c>
      <c r="D22" s="6">
        <v>1.0</v>
      </c>
      <c r="E22" s="6">
        <v>0.0</v>
      </c>
      <c r="F22" s="6">
        <v>1.0</v>
      </c>
      <c r="G22" s="6">
        <v>0.0</v>
      </c>
      <c r="H22" s="6">
        <v>1.0</v>
      </c>
      <c r="I22" s="6">
        <v>0.0</v>
      </c>
    </row>
    <row r="23" ht="15.75" customHeight="1">
      <c r="B23" s="5" t="s">
        <v>26</v>
      </c>
      <c r="C23" s="10">
        <v>0.0</v>
      </c>
      <c r="D23" s="6">
        <v>0.0</v>
      </c>
      <c r="E23" s="6">
        <v>0.0</v>
      </c>
      <c r="F23" s="6">
        <v>1.0</v>
      </c>
      <c r="G23" s="6">
        <v>0.0</v>
      </c>
      <c r="H23" s="6">
        <v>0.0</v>
      </c>
      <c r="I23" s="6">
        <v>0.0</v>
      </c>
    </row>
    <row r="24" ht="15.75" customHeight="1">
      <c r="B24" s="5" t="s">
        <v>27</v>
      </c>
      <c r="C24" s="10">
        <v>1.0</v>
      </c>
      <c r="D24" s="6">
        <v>1.0</v>
      </c>
      <c r="E24" s="6">
        <v>1.0</v>
      </c>
      <c r="F24" s="6">
        <v>0.0</v>
      </c>
      <c r="G24" s="6">
        <v>1.0</v>
      </c>
      <c r="H24" s="6">
        <v>0.0</v>
      </c>
      <c r="I24" s="6">
        <v>1.0</v>
      </c>
    </row>
    <row r="25" ht="15.75" customHeight="1">
      <c r="B25" s="5" t="s">
        <v>28</v>
      </c>
      <c r="C25" s="10">
        <v>1.0</v>
      </c>
      <c r="D25" s="6">
        <v>1.0</v>
      </c>
      <c r="E25" s="6">
        <v>1.0</v>
      </c>
      <c r="F25" s="6">
        <v>0.0</v>
      </c>
      <c r="G25" s="6">
        <v>1.0</v>
      </c>
      <c r="H25" s="6">
        <v>0.0</v>
      </c>
      <c r="I25" s="6">
        <v>0.0</v>
      </c>
    </row>
    <row r="26" ht="15.75" customHeight="1">
      <c r="B26" s="5" t="s">
        <v>29</v>
      </c>
      <c r="C26" s="10">
        <v>0.0</v>
      </c>
      <c r="D26" s="6">
        <v>1.0</v>
      </c>
      <c r="E26" s="6">
        <v>0.0</v>
      </c>
      <c r="F26" s="6">
        <v>0.0</v>
      </c>
      <c r="G26" s="6">
        <v>0.0</v>
      </c>
      <c r="H26" s="6">
        <v>0.0</v>
      </c>
      <c r="I26" s="6">
        <v>1.0</v>
      </c>
    </row>
    <row r="27" ht="15.75" customHeight="1">
      <c r="B27" s="5" t="s">
        <v>30</v>
      </c>
      <c r="C27" s="10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</row>
    <row r="28" ht="15.75" customHeight="1">
      <c r="B28" s="5" t="s">
        <v>31</v>
      </c>
      <c r="C28" s="11" t="s">
        <v>67</v>
      </c>
      <c r="D28" s="6"/>
      <c r="E28" s="6"/>
      <c r="F28" s="6"/>
      <c r="G28" s="6" t="s">
        <v>93</v>
      </c>
      <c r="H28" s="6"/>
      <c r="I28" s="6"/>
    </row>
    <row r="29" ht="15.75" customHeight="1">
      <c r="B29" s="5" t="s">
        <v>32</v>
      </c>
      <c r="C29" s="10">
        <v>2.0</v>
      </c>
      <c r="D29" s="6">
        <v>2.0</v>
      </c>
      <c r="E29" s="6">
        <v>2.0</v>
      </c>
      <c r="F29" s="6">
        <v>2.0</v>
      </c>
      <c r="G29" s="6">
        <v>2.0</v>
      </c>
      <c r="H29" s="6">
        <v>3.0</v>
      </c>
      <c r="I29" s="6">
        <v>3.0</v>
      </c>
    </row>
    <row r="30" ht="15.75" customHeight="1">
      <c r="A30" s="3" t="s">
        <v>3</v>
      </c>
      <c r="B30" s="5" t="s">
        <v>33</v>
      </c>
      <c r="C30" s="10">
        <v>3.0</v>
      </c>
      <c r="D30" s="6">
        <v>3.0</v>
      </c>
      <c r="E30" s="6">
        <v>4.0</v>
      </c>
      <c r="F30" s="6">
        <v>2.0</v>
      </c>
      <c r="G30" s="6">
        <v>2.0</v>
      </c>
      <c r="H30" s="6">
        <v>3.0</v>
      </c>
      <c r="I30" s="6">
        <v>2.0</v>
      </c>
    </row>
    <row r="31" ht="15.75" customHeight="1">
      <c r="B31" s="5" t="s">
        <v>34</v>
      </c>
      <c r="C31" s="10">
        <v>2.0</v>
      </c>
      <c r="D31" s="6">
        <v>3.0</v>
      </c>
      <c r="E31" s="6">
        <v>2.0</v>
      </c>
      <c r="F31" s="6">
        <v>3.0</v>
      </c>
      <c r="G31" s="6">
        <v>2.0</v>
      </c>
      <c r="H31" s="6">
        <v>2.0</v>
      </c>
      <c r="I31" s="6">
        <v>2.0</v>
      </c>
    </row>
    <row r="32" ht="15.75" customHeight="1">
      <c r="B32" s="5" t="s">
        <v>35</v>
      </c>
      <c r="C32" s="10">
        <v>4.0</v>
      </c>
      <c r="D32" s="6">
        <v>2.0</v>
      </c>
      <c r="E32" s="6">
        <v>3.0</v>
      </c>
      <c r="F32" s="6">
        <v>3.0</v>
      </c>
      <c r="G32" s="6">
        <v>3.0</v>
      </c>
      <c r="H32" s="6">
        <v>2.0</v>
      </c>
      <c r="I32" s="6">
        <v>3.0</v>
      </c>
    </row>
    <row r="33" ht="15.75" customHeight="1">
      <c r="B33" s="4" t="s">
        <v>36</v>
      </c>
      <c r="C33" s="10">
        <v>2.0</v>
      </c>
      <c r="D33" s="6">
        <v>2.0</v>
      </c>
      <c r="E33" s="6">
        <v>1.0</v>
      </c>
      <c r="F33" s="6">
        <v>1.0</v>
      </c>
      <c r="G33" s="6">
        <v>1.0</v>
      </c>
      <c r="H33" s="6">
        <v>1.0</v>
      </c>
      <c r="I33" s="6">
        <v>1.0</v>
      </c>
    </row>
    <row r="34" ht="15.75" customHeight="1">
      <c r="B34" s="5" t="s">
        <v>37</v>
      </c>
      <c r="C34" s="10">
        <v>2.0</v>
      </c>
      <c r="D34" s="6">
        <v>3.0</v>
      </c>
      <c r="E34" s="6">
        <v>2.0</v>
      </c>
      <c r="F34" s="6">
        <v>2.0</v>
      </c>
      <c r="G34" s="6">
        <v>2.0</v>
      </c>
      <c r="H34" s="6">
        <v>2.0</v>
      </c>
      <c r="I34" s="6">
        <v>3.0</v>
      </c>
    </row>
    <row r="35" ht="15.75" customHeight="1">
      <c r="B35" s="5" t="s">
        <v>38</v>
      </c>
      <c r="C35" s="10">
        <v>2.0</v>
      </c>
      <c r="D35" s="6">
        <v>2.0</v>
      </c>
      <c r="E35" s="6">
        <v>2.0</v>
      </c>
      <c r="F35" s="6">
        <v>4.0</v>
      </c>
      <c r="G35" s="6">
        <v>2.0</v>
      </c>
      <c r="H35" s="6">
        <v>2.0</v>
      </c>
      <c r="I35" s="6">
        <v>3.0</v>
      </c>
    </row>
    <row r="36" ht="15.75" customHeight="1">
      <c r="B36" s="5" t="s">
        <v>39</v>
      </c>
      <c r="C36" s="10">
        <v>2.0</v>
      </c>
      <c r="D36" s="6">
        <v>1.0</v>
      </c>
      <c r="E36" s="6">
        <v>2.0</v>
      </c>
      <c r="F36" s="6">
        <v>1.0</v>
      </c>
      <c r="G36" s="6">
        <v>1.0</v>
      </c>
      <c r="H36" s="6">
        <v>2.0</v>
      </c>
      <c r="I36" s="6">
        <v>1.0</v>
      </c>
    </row>
    <row r="37" ht="15.75" customHeight="1">
      <c r="B37" s="5" t="s">
        <v>40</v>
      </c>
      <c r="C37" s="10">
        <v>3.0</v>
      </c>
      <c r="D37" s="6">
        <v>2.0</v>
      </c>
      <c r="E37" s="6">
        <v>1.0</v>
      </c>
      <c r="F37" s="6">
        <v>3.0</v>
      </c>
      <c r="G37" s="6">
        <v>3.0</v>
      </c>
      <c r="H37" s="6">
        <v>2.0</v>
      </c>
      <c r="I37" s="6">
        <v>1.0</v>
      </c>
    </row>
    <row r="38" ht="15.75" customHeight="1">
      <c r="B38" s="4" t="s">
        <v>41</v>
      </c>
      <c r="C38" s="10">
        <v>2.0</v>
      </c>
      <c r="D38" s="6">
        <v>2.0</v>
      </c>
      <c r="E38" s="6">
        <v>2.0</v>
      </c>
      <c r="F38" s="6">
        <v>2.0</v>
      </c>
      <c r="G38" s="6">
        <v>3.0</v>
      </c>
      <c r="H38" s="6">
        <v>3.0</v>
      </c>
      <c r="I38" s="6">
        <v>2.0</v>
      </c>
    </row>
    <row r="39" ht="15.75" customHeight="1">
      <c r="B39" s="5" t="s">
        <v>42</v>
      </c>
      <c r="C39" s="10">
        <v>4.0</v>
      </c>
      <c r="D39" s="6">
        <v>3.0</v>
      </c>
      <c r="E39" s="6">
        <v>1.0</v>
      </c>
      <c r="F39" s="6">
        <v>4.0</v>
      </c>
      <c r="G39" s="6">
        <v>3.0</v>
      </c>
      <c r="H39" s="6">
        <v>1.0</v>
      </c>
      <c r="I39" s="6">
        <v>1.0</v>
      </c>
    </row>
    <row r="40" ht="15.75" customHeight="1">
      <c r="B40" s="5" t="s">
        <v>43</v>
      </c>
      <c r="C40" s="10">
        <v>1.0</v>
      </c>
      <c r="D40" s="6">
        <v>1.0</v>
      </c>
      <c r="E40" s="6">
        <v>2.0</v>
      </c>
      <c r="F40" s="6">
        <v>2.0</v>
      </c>
      <c r="G40" s="6">
        <v>2.0</v>
      </c>
      <c r="H40" s="6">
        <v>2.0</v>
      </c>
      <c r="I40" s="6">
        <v>1.0</v>
      </c>
    </row>
    <row r="41" ht="15.75" customHeight="1">
      <c r="B41" s="5" t="s">
        <v>44</v>
      </c>
      <c r="C41" s="10">
        <v>2.0</v>
      </c>
      <c r="D41" s="6">
        <v>1.0</v>
      </c>
      <c r="E41" s="6">
        <v>3.0</v>
      </c>
      <c r="F41" s="6">
        <v>2.0</v>
      </c>
      <c r="G41" s="6">
        <v>3.0</v>
      </c>
      <c r="H41" s="6">
        <v>2.0</v>
      </c>
      <c r="I41" s="6">
        <v>3.0</v>
      </c>
    </row>
    <row r="42" ht="15.75" customHeight="1">
      <c r="B42" s="5" t="s">
        <v>45</v>
      </c>
      <c r="C42" s="10">
        <v>2.0</v>
      </c>
      <c r="D42" s="6">
        <v>4.0</v>
      </c>
      <c r="E42" s="6">
        <v>2.0</v>
      </c>
      <c r="F42" s="6">
        <v>3.0</v>
      </c>
      <c r="G42" s="6">
        <v>2.0</v>
      </c>
      <c r="H42" s="6">
        <v>2.0</v>
      </c>
      <c r="I42" s="6">
        <v>3.0</v>
      </c>
    </row>
    <row r="43" ht="15.75" customHeight="1">
      <c r="B43" s="4" t="s">
        <v>46</v>
      </c>
      <c r="C43" s="10">
        <v>2.0</v>
      </c>
      <c r="D43" s="6">
        <v>1.0</v>
      </c>
      <c r="E43" s="6">
        <v>1.0</v>
      </c>
      <c r="F43" s="6">
        <v>1.0</v>
      </c>
      <c r="G43" s="6">
        <v>1.0</v>
      </c>
      <c r="H43" s="6">
        <v>1.0</v>
      </c>
      <c r="I43" s="6">
        <v>1.0</v>
      </c>
    </row>
    <row r="44" ht="15.75" customHeight="1">
      <c r="B44" s="5" t="s">
        <v>47</v>
      </c>
      <c r="C44" s="10">
        <v>1.0</v>
      </c>
      <c r="D44" s="6">
        <v>2.0</v>
      </c>
      <c r="E44" s="6">
        <v>2.0</v>
      </c>
      <c r="F44" s="6">
        <v>3.0</v>
      </c>
      <c r="G44" s="6">
        <v>2.0</v>
      </c>
      <c r="H44" s="6">
        <v>2.0</v>
      </c>
      <c r="I44" s="6">
        <v>2.0</v>
      </c>
    </row>
    <row r="45" ht="15.75" customHeight="1">
      <c r="B45" s="5" t="s">
        <v>48</v>
      </c>
      <c r="C45" s="10">
        <v>2.0</v>
      </c>
      <c r="D45" s="6">
        <v>3.0</v>
      </c>
      <c r="E45" s="6">
        <v>1.0</v>
      </c>
      <c r="F45" s="6">
        <v>4.0</v>
      </c>
      <c r="G45" s="6">
        <v>2.0</v>
      </c>
      <c r="H45" s="6">
        <v>2.0</v>
      </c>
      <c r="I45" s="6">
        <v>1.0</v>
      </c>
    </row>
    <row r="46" ht="15.75" customHeight="1">
      <c r="B46" s="5" t="s">
        <v>49</v>
      </c>
      <c r="C46" s="10">
        <v>1.0</v>
      </c>
      <c r="D46" s="6">
        <v>2.0</v>
      </c>
      <c r="E46" s="6">
        <v>2.0</v>
      </c>
      <c r="F46" s="6">
        <v>3.0</v>
      </c>
      <c r="G46" s="6">
        <v>1.0</v>
      </c>
      <c r="H46" s="6">
        <v>2.0</v>
      </c>
      <c r="I46" s="6">
        <v>1.0</v>
      </c>
    </row>
    <row r="47" ht="15.75" customHeight="1">
      <c r="B47" s="5" t="s">
        <v>50</v>
      </c>
      <c r="C47" s="10">
        <v>3.0</v>
      </c>
      <c r="D47" s="6">
        <v>4.0</v>
      </c>
      <c r="E47" s="6">
        <v>4.0</v>
      </c>
      <c r="F47" s="6">
        <v>2.0</v>
      </c>
      <c r="G47" s="6">
        <v>2.0</v>
      </c>
      <c r="H47" s="6">
        <v>3.0</v>
      </c>
      <c r="I47" s="6">
        <v>3.0</v>
      </c>
    </row>
    <row r="48" ht="15.75" customHeight="1">
      <c r="B48" s="4" t="s">
        <v>51</v>
      </c>
      <c r="C48" s="10">
        <v>4.0</v>
      </c>
      <c r="D48" s="6">
        <v>4.0</v>
      </c>
      <c r="E48" s="6">
        <v>4.0</v>
      </c>
      <c r="F48" s="6">
        <v>4.0</v>
      </c>
      <c r="G48" s="6">
        <v>3.0</v>
      </c>
      <c r="H48" s="6">
        <v>3.0</v>
      </c>
      <c r="I48" s="6">
        <v>1.0</v>
      </c>
    </row>
    <row r="49" ht="15.75" customHeight="1">
      <c r="B49" s="4" t="s">
        <v>52</v>
      </c>
      <c r="C49" s="10">
        <f t="shared" ref="C49:I49" si="1">SUM(C29:C48)</f>
        <v>46</v>
      </c>
      <c r="D49" s="10">
        <f t="shared" si="1"/>
        <v>47</v>
      </c>
      <c r="E49" s="10">
        <f t="shared" si="1"/>
        <v>43</v>
      </c>
      <c r="F49" s="10">
        <f t="shared" si="1"/>
        <v>51</v>
      </c>
      <c r="G49" s="10">
        <f t="shared" si="1"/>
        <v>42</v>
      </c>
      <c r="H49" s="10">
        <f t="shared" si="1"/>
        <v>42</v>
      </c>
      <c r="I49" s="10">
        <f t="shared" si="1"/>
        <v>38</v>
      </c>
    </row>
    <row r="50" ht="15.75" customHeight="1">
      <c r="A50" s="3"/>
      <c r="B50" s="5" t="s">
        <v>53</v>
      </c>
      <c r="C50" s="10" t="s">
        <v>68</v>
      </c>
      <c r="D50" s="6" t="s">
        <v>76</v>
      </c>
      <c r="E50" s="6" t="s">
        <v>68</v>
      </c>
      <c r="F50" s="6" t="s">
        <v>85</v>
      </c>
      <c r="G50" s="6" t="s">
        <v>94</v>
      </c>
      <c r="H50" s="6" t="s">
        <v>95</v>
      </c>
      <c r="I50" s="6"/>
    </row>
    <row r="51" ht="15.75" customHeight="1">
      <c r="A51" s="3" t="s">
        <v>4</v>
      </c>
      <c r="B51" s="6" t="s">
        <v>54</v>
      </c>
      <c r="C51" s="10">
        <v>2025.0</v>
      </c>
      <c r="D51" s="6">
        <v>2024.0</v>
      </c>
      <c r="E51" s="6">
        <v>2025.0</v>
      </c>
      <c r="F51" s="12">
        <v>45962.0</v>
      </c>
      <c r="G51" s="6">
        <v>2022.0</v>
      </c>
      <c r="H51" s="12">
        <v>45627.0</v>
      </c>
      <c r="I51" s="6"/>
    </row>
    <row r="52" ht="15.75" customHeight="1">
      <c r="B52" s="5" t="s">
        <v>55</v>
      </c>
      <c r="C52" s="10" t="s">
        <v>69</v>
      </c>
      <c r="D52" s="6" t="s">
        <v>68</v>
      </c>
      <c r="E52" s="6"/>
      <c r="F52" s="6" t="s">
        <v>86</v>
      </c>
      <c r="G52" s="6" t="s">
        <v>95</v>
      </c>
      <c r="H52" s="6"/>
      <c r="I52" s="6"/>
    </row>
    <row r="53" ht="15.75" customHeight="1">
      <c r="B53" s="6" t="s">
        <v>54</v>
      </c>
      <c r="C53" s="10">
        <v>2024.0</v>
      </c>
      <c r="D53" s="6">
        <v>2025.0</v>
      </c>
      <c r="E53" s="6"/>
      <c r="F53" s="12">
        <v>45962.0</v>
      </c>
      <c r="G53" s="12">
        <v>45627.0</v>
      </c>
      <c r="H53" s="6"/>
      <c r="I53" s="6"/>
    </row>
    <row r="54" ht="15.75" customHeight="1">
      <c r="B54" s="5" t="s">
        <v>56</v>
      </c>
      <c r="C54" s="10"/>
      <c r="D54" s="7" t="s">
        <v>77</v>
      </c>
      <c r="E54" s="6"/>
      <c r="F54" s="6" t="s">
        <v>87</v>
      </c>
      <c r="G54" s="6"/>
      <c r="H54" s="6"/>
      <c r="I54" s="6"/>
    </row>
    <row r="55" ht="15.75" customHeight="1">
      <c r="B55" s="6" t="s">
        <v>54</v>
      </c>
      <c r="C55" s="10"/>
      <c r="D55" s="12">
        <v>45748.0</v>
      </c>
      <c r="E55" s="6"/>
      <c r="F55" s="12">
        <v>45778.0</v>
      </c>
      <c r="G55" s="6"/>
      <c r="H55" s="6"/>
      <c r="I55" s="6"/>
    </row>
    <row r="56" ht="15.75" customHeight="1">
      <c r="B56" s="5" t="s">
        <v>57</v>
      </c>
      <c r="C56" s="10"/>
      <c r="D56" s="6" t="s">
        <v>78</v>
      </c>
      <c r="E56" s="6"/>
      <c r="F56" s="6"/>
      <c r="G56" s="6"/>
      <c r="H56" s="6"/>
      <c r="I56" s="6"/>
    </row>
    <row r="57" ht="15.75" customHeight="1">
      <c r="B57" s="6" t="s">
        <v>54</v>
      </c>
      <c r="C57" s="10"/>
      <c r="D57" s="12">
        <v>45231.0</v>
      </c>
      <c r="E57" s="6"/>
      <c r="F57" s="6"/>
      <c r="G57" s="6"/>
      <c r="H57" s="6"/>
      <c r="I57" s="6"/>
    </row>
    <row r="58" ht="15.75" customHeight="1">
      <c r="B58" s="5" t="s">
        <v>58</v>
      </c>
      <c r="C58" s="10" t="s">
        <v>70</v>
      </c>
      <c r="D58" s="6" t="s">
        <v>79</v>
      </c>
      <c r="E58" s="6"/>
      <c r="F58" s="6" t="s">
        <v>88</v>
      </c>
      <c r="G58" s="6" t="s">
        <v>96</v>
      </c>
      <c r="H58" s="6" t="s">
        <v>99</v>
      </c>
      <c r="I58" s="6"/>
    </row>
    <row r="59" ht="15.75" customHeight="1">
      <c r="B59" s="4" t="s">
        <v>59</v>
      </c>
      <c r="C59" s="9">
        <v>45748.0</v>
      </c>
      <c r="D59" s="12">
        <v>45748.0</v>
      </c>
      <c r="E59" s="12"/>
      <c r="F59" s="12"/>
      <c r="G59" s="12"/>
      <c r="H59" s="12">
        <v>45809.0</v>
      </c>
      <c r="I59" s="6"/>
    </row>
    <row r="60" ht="15.75" customHeight="1">
      <c r="B60" s="7" t="s">
        <v>60</v>
      </c>
      <c r="C60" s="9"/>
      <c r="D60" s="12"/>
      <c r="E60" s="12"/>
      <c r="F60" s="12">
        <v>45657.0</v>
      </c>
      <c r="G60" s="12">
        <v>45669.0</v>
      </c>
      <c r="H60" s="6"/>
      <c r="I60" s="6"/>
    </row>
    <row r="61" ht="15.75" customHeight="1">
      <c r="B61" s="4" t="s">
        <v>61</v>
      </c>
      <c r="C61" s="12">
        <v>45964.0</v>
      </c>
      <c r="D61" s="12">
        <v>45870.0</v>
      </c>
      <c r="E61" s="12"/>
      <c r="F61" s="12"/>
      <c r="G61" s="12"/>
      <c r="H61" s="12">
        <v>45962.0</v>
      </c>
      <c r="I61" s="6"/>
    </row>
    <row r="62" ht="15.75" customHeight="1">
      <c r="B62" s="7" t="s">
        <v>62</v>
      </c>
      <c r="C62" s="12"/>
      <c r="D62" s="12"/>
      <c r="E62" s="12"/>
      <c r="F62" s="12">
        <v>45972.0</v>
      </c>
      <c r="G62" s="12">
        <v>45669.0</v>
      </c>
      <c r="H62" s="6"/>
      <c r="I62" s="6"/>
    </row>
    <row r="63" ht="15.75" customHeight="1">
      <c r="B63" s="5" t="s">
        <v>63</v>
      </c>
      <c r="C63" s="6" t="s">
        <v>71</v>
      </c>
      <c r="D63" s="6" t="s">
        <v>80</v>
      </c>
      <c r="E63" s="6"/>
      <c r="F63" s="6" t="s">
        <v>89</v>
      </c>
      <c r="G63" s="6" t="s">
        <v>97</v>
      </c>
      <c r="H63" s="6" t="s">
        <v>100</v>
      </c>
      <c r="I63" s="6"/>
    </row>
    <row r="64" ht="15.75" customHeight="1">
      <c r="B64" s="4" t="s">
        <v>59</v>
      </c>
      <c r="C64" s="9">
        <v>45748.0</v>
      </c>
      <c r="D64" s="12">
        <v>45231.0</v>
      </c>
      <c r="E64" s="12"/>
      <c r="F64" s="12"/>
      <c r="G64" s="12"/>
      <c r="H64" s="12">
        <v>45809.0</v>
      </c>
      <c r="I64" s="6"/>
    </row>
    <row r="65" ht="15.75" customHeight="1">
      <c r="B65" s="7" t="s">
        <v>60</v>
      </c>
      <c r="C65" s="9"/>
      <c r="D65" s="12"/>
      <c r="E65" s="12"/>
      <c r="F65" s="12">
        <v>45657.0</v>
      </c>
      <c r="G65" s="12">
        <v>44915.0</v>
      </c>
      <c r="H65" s="6"/>
      <c r="I65" s="6"/>
    </row>
    <row r="66" ht="15.75" customHeight="1">
      <c r="B66" s="4" t="s">
        <v>61</v>
      </c>
      <c r="C66" s="12">
        <v>45870.0</v>
      </c>
      <c r="D66" s="12"/>
      <c r="E66" s="12"/>
      <c r="F66" s="12"/>
      <c r="G66" s="12"/>
      <c r="H66" s="6"/>
      <c r="I66" s="6"/>
    </row>
    <row r="67" ht="15.75" customHeight="1">
      <c r="B67" s="7" t="s">
        <v>62</v>
      </c>
      <c r="C67" s="12"/>
      <c r="D67" s="12"/>
      <c r="E67" s="12"/>
      <c r="F67" s="12">
        <v>45972.0</v>
      </c>
      <c r="G67" s="12">
        <v>45841.0</v>
      </c>
      <c r="H67" s="6"/>
      <c r="I67" s="6"/>
    </row>
    <row r="68" ht="15.75" customHeight="1">
      <c r="B68" s="5" t="s">
        <v>64</v>
      </c>
      <c r="C68" s="6" t="s">
        <v>72</v>
      </c>
      <c r="D68" s="6"/>
      <c r="E68" s="6"/>
      <c r="F68" s="6" t="s">
        <v>90</v>
      </c>
      <c r="G68" s="6"/>
      <c r="H68" s="6"/>
      <c r="I68" s="6"/>
    </row>
    <row r="69" ht="15.75" customHeight="1">
      <c r="B69" s="4" t="s">
        <v>59</v>
      </c>
      <c r="C69" s="12">
        <v>45658.0</v>
      </c>
      <c r="D69" s="12"/>
      <c r="E69" s="12"/>
      <c r="F69" s="12"/>
      <c r="G69" s="6"/>
      <c r="H69" s="6"/>
      <c r="I69" s="6"/>
    </row>
    <row r="70" ht="15.75" customHeight="1">
      <c r="B70" s="7" t="s">
        <v>60</v>
      </c>
      <c r="C70" s="12"/>
      <c r="D70" s="12"/>
      <c r="E70" s="12"/>
      <c r="F70" s="12">
        <v>45807.0</v>
      </c>
      <c r="G70" s="6"/>
      <c r="H70" s="6"/>
      <c r="I70" s="6"/>
    </row>
    <row r="71" ht="15.75" customHeight="1">
      <c r="B71" s="4" t="s">
        <v>61</v>
      </c>
      <c r="C71" s="12">
        <v>45658.0</v>
      </c>
      <c r="D71" s="12"/>
      <c r="E71" s="12"/>
      <c r="F71" s="12"/>
      <c r="G71" s="6"/>
      <c r="H71" s="6"/>
      <c r="I71" s="6"/>
    </row>
    <row r="72" ht="15.75" customHeight="1">
      <c r="B72" s="7" t="s">
        <v>62</v>
      </c>
      <c r="C72" s="12"/>
      <c r="D72" s="12"/>
      <c r="E72" s="12"/>
      <c r="F72" s="12">
        <v>45972.0</v>
      </c>
      <c r="G72" s="6"/>
      <c r="H72" s="6"/>
      <c r="I72" s="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5"/>
    <mergeCell ref="A7:A13"/>
    <mergeCell ref="A14:A29"/>
    <mergeCell ref="A30:A49"/>
    <mergeCell ref="A51:A73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2025-12-22T13:56:52Z</dcterms:created>
  <dc:creator>מקסים ולדניק</dc:creator>
</cp:coreProperties>
</file>